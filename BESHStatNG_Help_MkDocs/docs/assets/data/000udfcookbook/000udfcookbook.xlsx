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5B56EEA8-6CF2-4772-B5A3-A2E7E0D6AF6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ROC_Plot_Data" sheetId="2" r:id="rId2"/>
    <sheet name="Histogram_Plot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3" l="1" a="1"/>
  <c r="K5" i="3" a="1"/>
  <c r="G15" i="3" a="1"/>
  <c r="G5" i="3" a="1"/>
  <c r="K38" i="2" a="1"/>
  <c r="D38" i="2" a="1"/>
  <c r="D5" i="2" a="1"/>
  <c r="K5" i="2" a="1"/>
  <c r="D21" i="2" a="1"/>
  <c r="K13" i="2"/>
  <c r="N5" i="3" l="1"/>
  <c r="K5" i="3"/>
  <c r="G15" i="3"/>
  <c r="G5" i="3"/>
  <c r="K38" i="2"/>
  <c r="D38" i="2"/>
  <c r="D5" i="2"/>
  <c r="K5" i="2"/>
  <c r="D2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<sst xmlns="http://schemas.openxmlformats.org/spreadsheetml/2006/main" count="90" uniqueCount="73">
  <si>
    <t>BESHStatNG UDF cookbook companion workbook</t>
  </si>
  <si>
    <t>Purpose</t>
  </si>
  <si>
    <t>This workbook provides hands-on example sheets only for cookbook examples that do not already have a completed tutorial page on the website.</t>
  </si>
  <si>
    <t>Included hands-on sheets</t>
  </si>
  <si>
    <t>ROC_Plot_Data</t>
  </si>
  <si>
    <t>Live example for BESH.PLOT.ROC_POINTS and BESH.PLOT.ROC_STATS</t>
  </si>
  <si>
    <t>Histogram_Plot_Data</t>
  </si>
  <si>
    <t>Live example for BESH.PLOT.HIST_BINS and BESH.PLOT.HIST_NORMAL</t>
  </si>
  <si>
    <t>Examples already covered by completed tutorials</t>
  </si>
  <si>
    <t>Kaplan–Meier Plot / Cox Regression</t>
  </si>
  <si>
    <t>https://beshstat.eu/survival-analysis-in-excel/</t>
  </si>
  <si>
    <t>Linear Regression / GLM / GEE / NB / ZIP UDF workflows</t>
  </si>
  <si>
    <t>https://beshstat.eu/regression-and-udf-workflows-in-excel/</t>
  </si>
  <si>
    <t>PCA / FA / K-means / Hierarchical / CA / MCA / DA</t>
  </si>
  <si>
    <t>https://beshstat.eu/multivariate-analysis-in-excel/</t>
  </si>
  <si>
    <t>Agreement methods</t>
  </si>
  <si>
    <t>https://beshstat.eu/method-comparison-and-agreement-in-excel/</t>
  </si>
  <si>
    <t>Sample size methods</t>
  </si>
  <si>
    <t>https://beshstat.eu/sample-size-planning-in-excel/</t>
  </si>
  <si>
    <t>How to use</t>
  </si>
  <si>
    <t>1. Open the workbook in Excel with the BESHStatNG add-in loaded.</t>
  </si>
  <si>
    <t>2. Go to one of the example sheets and review the prepared input ranges.</t>
  </si>
  <si>
    <t>3. The yellow cells contain live BESH formulas. Recalculate if Excel does not update them automatically.</t>
  </si>
  <si>
    <t>4. Static reference tables and charts are included only as visual guides.</t>
  </si>
  <si>
    <t>Note</t>
  </si>
  <si>
    <t>The live UDF formulas will evaluate only when the add-in is installed. If the add-in is missing, Excel may show #NAME? or keep the formula unevaluated.</t>
  </si>
  <si>
    <t>ROC plot-data UDF example</t>
  </si>
  <si>
    <t>Back to README</t>
  </si>
  <si>
    <t>Numeric status example (0/1)</t>
  </si>
  <si>
    <t>Live formula cells</t>
  </si>
  <si>
    <t>Static reference output (visual guide)</t>
  </si>
  <si>
    <t>Status</t>
  </si>
  <si>
    <t>Marker</t>
  </si>
  <si>
    <t>ROC points spill</t>
  </si>
  <si>
    <t>ROC stats spill</t>
  </si>
  <si>
    <t>Threshold</t>
  </si>
  <si>
    <t>Sensitivity</t>
  </si>
  <si>
    <t>Specificity</t>
  </si>
  <si>
    <t>FalsePositiveRate</t>
  </si>
  <si>
    <t>TruePositiveRate</t>
  </si>
  <si>
    <t>Metric</t>
  </si>
  <si>
    <t>Value</t>
  </si>
  <si>
    <t>∞</t>
  </si>
  <si>
    <t>AUC</t>
  </si>
  <si>
    <t>SE (Hanley-McNeil)</t>
  </si>
  <si>
    <t>If you want to test bounded ranges with headers, try:</t>
  </si>
  <si>
    <t>95% CI lower</t>
  </si>
  <si>
    <t>95% CI upper</t>
  </si>
  <si>
    <t>Interpretation</t>
  </si>
  <si>
    <t>Toy example with moderate-to-strong discrimination</t>
  </si>
  <si>
    <t>Text label example (Control / Case)</t>
  </si>
  <si>
    <t>Text-label formulas</t>
  </si>
  <si>
    <t>StatusText</t>
  </si>
  <si>
    <t>Control</t>
  </si>
  <si>
    <t>Note: if your local build uses an explicit positive-class argument, adapt the formula to that released signature.</t>
  </si>
  <si>
    <t>Case</t>
  </si>
  <si>
    <t>Histogram plot-data UDF example</t>
  </si>
  <si>
    <t>Sample values</t>
  </si>
  <si>
    <t>Histogram bins spill</t>
  </si>
  <si>
    <t>Normal overlay spill</t>
  </si>
  <si>
    <t>BinLeft</t>
  </si>
  <si>
    <t>BinRight</t>
  </si>
  <si>
    <t>Midpoint</t>
  </si>
  <si>
    <t>Count</t>
  </si>
  <si>
    <t>NormalOverlay</t>
  </si>
  <si>
    <t>Mean</t>
  </si>
  <si>
    <t>SD</t>
  </si>
  <si>
    <t>Try this if you want to include the header row explicitly:</t>
  </si>
  <si>
    <t>Suggested manual chart workflow</t>
  </si>
  <si>
    <t>1. Enter HIST_BINS in a blank spill area.</t>
  </si>
  <si>
    <t>2. Create a column chart from the spilled count output.</t>
  </si>
  <si>
    <t>3. Enter HIST_NORMAL nearby.</t>
  </si>
  <si>
    <t>4. Add the normal series as a line on a secondary axis if desired.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</si>
</sst>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u/>
      <sz val="11"/>
      <color rgb="FF0563C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3" borderId="0" xfId="0" applyFill="1"/>
    <xf numFmtId="0" fontId="3" fillId="4" borderId="0" xfId="0" applyFont="1" applyFill="1"/>
    <xf numFmtId="0" fontId="3" fillId="0" borderId="0" xfId="0" applyFont="1"/>
    <xf numFmtId="0" fontId="0" fillId="5" borderId="0" xfId="0" applyFill="1"/>
    <xf numFmtId="0" fontId="0" fillId="0" borderId="0" xfId="0" applyAlignment="1">
      <alignment vertical="top" wrapText="1"/>
    </xf>
    <xf numFmtId="0" fontId="0" fillId="0" borderId="0" xfId="0"/>
    <xf numFmtId="0" fontId="0" fillId="5" borderId="0" xfId="0" applyFill="1" applyAlignment="1">
      <alignment vertical="top" wrapText="1"/>
    </xf>
    <xf numFmtId="0" fontId="1" fillId="2" borderId="0" xfId="0" applyFont="1" applyFill="1"/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Reference ROC curve (static visual guide)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06583333333332"/>
          <c:y val="0.174625"/>
          <c:w val="0.7850380555555555"/>
          <c:h val="0.64294722222222223"/>
        </c:manualLayout>
      </c:layout>
      <c:scatterChart>
        <c:scatterStyle val="lineMarker"/>
        <c:varyColors val="1"/>
        <c:ser>
          <c:idx val="0"/>
          <c:order val="0"/>
          <c:tx>
            <c:v>ROC</c:v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circle"/>
              <c:size val="5"/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circle"/>
              <c:size val="5"/>
              <c:spPr>
                <a:gradFill rotWithShape="1">
                  <a:gsLst>
                    <a:gs pos="0">
                      <a:schemeClr val="accent4">
                        <a:shade val="51000"/>
                        <a:satMod val="130000"/>
                      </a:schemeClr>
                    </a:gs>
                    <a:gs pos="80000">
                      <a:schemeClr val="accent4"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4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marker>
              <c:symbol val="circle"/>
              <c:size val="5"/>
              <c:spPr>
                <a:gradFill rotWithShape="1">
                  <a:gsLst>
                    <a:gs pos="0">
                      <a:schemeClr val="accent5">
                        <a:shade val="51000"/>
                        <a:satMod val="130000"/>
                      </a:schemeClr>
                    </a:gs>
                    <a:gs pos="80000">
                      <a:schemeClr val="accent5">
                        <a:shade val="93000"/>
                        <a:satMod val="130000"/>
                      </a:schemeClr>
                    </a:gs>
                    <a:gs pos="100000">
                      <a:schemeClr val="accent5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5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marker>
              <c:symbol val="circle"/>
              <c:size val="5"/>
              <c:spPr>
                <a:gradFill rotWithShape="1">
                  <a:gsLst>
                    <a:gs pos="0">
                      <a:schemeClr val="accent6">
                        <a:shade val="51000"/>
                        <a:satMod val="130000"/>
                      </a:schemeClr>
                    </a:gs>
                    <a:gs pos="80000">
                      <a:schemeClr val="accent6">
                        <a:shade val="93000"/>
                        <a:satMod val="130000"/>
                      </a:schemeClr>
                    </a:gs>
                    <a:gs pos="100000">
                      <a:schemeClr val="accent6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6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"/>
            <c:marker>
              <c:symbol val="circle"/>
              <c:size val="5"/>
              <c:spPr>
                <a:gradFill rotWithShape="1">
                  <a:gsLst>
                    <a:gs pos="0">
                      <a:schemeClr val="accent1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1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7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2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8"/>
            <c:marker>
              <c:symbol val="circle"/>
              <c:size val="5"/>
              <c:spPr>
                <a:gradFill rotWithShape="1">
                  <a:gsLst>
                    <a:gs pos="0">
                      <a:schemeClr val="accent3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9"/>
            <c:marker>
              <c:symbol val="circle"/>
              <c:size val="5"/>
              <c:spPr>
                <a:gradFill rotWithShape="1">
                  <a:gsLst>
                    <a:gs pos="0">
                      <a:schemeClr val="accent4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4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4">
                      <a:lumMod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0"/>
            <c:marker>
              <c:symbol val="circle"/>
              <c:size val="5"/>
              <c:spPr>
                <a:gradFill rotWithShape="1">
                  <a:gsLst>
                    <a:gs pos="0">
                      <a:schemeClr val="accent5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5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5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5">
                      <a:lumMod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1"/>
            <c:marker>
              <c:symbol val="circle"/>
              <c:size val="5"/>
              <c:spPr>
                <a:gradFill rotWithShape="1">
                  <a:gsLst>
                    <a:gs pos="0">
                      <a:schemeClr val="accent6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6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6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xVal>
            <c:numRef>
              <c:f>ROC_Plot_Data!$Q$5:$Q$16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</c:v>
                </c:pt>
                <c:pt idx="4">
                  <c:v>0.1666666666666666</c:v>
                </c:pt>
                <c:pt idx="5">
                  <c:v>0.1666666666666666</c:v>
                </c:pt>
                <c:pt idx="6">
                  <c:v>0.33333333333333343</c:v>
                </c:pt>
                <c:pt idx="7">
                  <c:v>0.33333333333333343</c:v>
                </c:pt>
                <c:pt idx="8">
                  <c:v>0.5</c:v>
                </c:pt>
                <c:pt idx="9">
                  <c:v>0.66666666666666674</c:v>
                </c:pt>
                <c:pt idx="10">
                  <c:v>0.83333333333333337</c:v>
                </c:pt>
                <c:pt idx="11">
                  <c:v>1</c:v>
                </c:pt>
              </c:numCache>
            </c:numRef>
          </c:xVal>
          <c:yVal>
            <c:numRef>
              <c:f>ROC_Plot_Data!$R$5:$R$16</c:f>
              <c:numCache>
                <c:formatCode>General</c:formatCode>
                <c:ptCount val="12"/>
                <c:pt idx="0">
                  <c:v>0</c:v>
                </c:pt>
                <c:pt idx="1">
                  <c:v>0.16666666666666671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8-4EE8-89E0-69FA7DF79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Positive Rate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Reference histogram + normal overlay (static visual guide)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419191919191921E-2"/>
          <c:y val="0.16230317460317462"/>
          <c:w val="0.86530303030303024"/>
          <c:h val="0.6764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Histogram_Plot_Data!$T$4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Histogram_Plot_Data!$S$5:$S$12</c:f>
              <c:numCache>
                <c:formatCode>General</c:formatCode>
                <c:ptCount val="8"/>
                <c:pt idx="0">
                  <c:v>9.0750000000000011</c:v>
                </c:pt>
                <c:pt idx="1">
                  <c:v>9.625</c:v>
                </c:pt>
                <c:pt idx="2">
                  <c:v>10.175000000000001</c:v>
                </c:pt>
                <c:pt idx="3">
                  <c:v>10.725</c:v>
                </c:pt>
                <c:pt idx="4">
                  <c:v>11.275</c:v>
                </c:pt>
                <c:pt idx="5">
                  <c:v>11.824999999999999</c:v>
                </c:pt>
                <c:pt idx="6">
                  <c:v>12.375</c:v>
                </c:pt>
                <c:pt idx="7">
                  <c:v>12.925000000000001</c:v>
                </c:pt>
              </c:numCache>
            </c:numRef>
          </c:cat>
          <c:val>
            <c:numRef>
              <c:f>Histogram_Plot_Data!$T$5:$T$12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B-4125-B62C-22B7E5C90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Histogram_Plot_Data!$U$4</c:f>
              <c:strCache>
                <c:ptCount val="1"/>
                <c:pt idx="0">
                  <c:v>NormalOverlay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Histogram_Plot_Data!$U$5:$U$12</c:f>
              <c:numCache>
                <c:formatCode>General</c:formatCode>
                <c:ptCount val="8"/>
                <c:pt idx="0">
                  <c:v>1.351737126783854</c:v>
                </c:pt>
                <c:pt idx="1">
                  <c:v>2.4315189485455742</c:v>
                </c:pt>
                <c:pt idx="2">
                  <c:v>3.6756046724224851</c:v>
                </c:pt>
                <c:pt idx="3">
                  <c:v>4.6692341379070932</c:v>
                </c:pt>
                <c:pt idx="4">
                  <c:v>4.9845760887930801</c:v>
                </c:pt>
                <c:pt idx="5">
                  <c:v>4.4717398316391064</c:v>
                </c:pt>
                <c:pt idx="6">
                  <c:v>3.3712467979698668</c:v>
                </c:pt>
                <c:pt idx="7">
                  <c:v>2.1358477244606808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9B-4125-B62C-22B7E5C90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 midpoint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Count</a:t>
                </a:r>
              </a:p>
            </c:rich>
          </c:tx>
          <c:layout>
            <c:manualLayout>
              <c:xMode val="edge"/>
              <c:yMode val="edge"/>
              <c:x val="3.2070707070707069E-3"/>
              <c:y val="0.4187099206349206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Reference histogram + normal overlay (static visual guide)</a:t>
            </a:r>
          </a:p>
        </c:rich>
      </c:tx>
      <c:layout>
        <c:manualLayout>
          <c:xMode val="edge"/>
          <c:yMode val="edge"/>
          <c:x val="0.1107807807807808"/>
          <c:y val="5.9808612440191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78976614409685"/>
          <c:y val="0.15432882492559244"/>
          <c:w val="0.8639325151923577"/>
          <c:h val="0.70982242650290728"/>
        </c:manualLayout>
      </c:layout>
      <c:barChart>
        <c:barDir val="col"/>
        <c:grouping val="clustered"/>
        <c:varyColors val="1"/>
        <c:ser>
          <c:idx val="0"/>
          <c:order val="1"/>
          <c:tx>
            <c:strRef>
              <c:f>Histogram_Plot_Data!$I$5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Histogram_Plot_Data!$H$6:$H$11</c:f>
              <c:numCache>
                <c:formatCode>General</c:formatCode>
                <c:ptCount val="6"/>
                <c:pt idx="0">
                  <c:v>8.5</c:v>
                </c:pt>
                <c:pt idx="1">
                  <c:v>9.5</c:v>
                </c:pt>
                <c:pt idx="2">
                  <c:v>10.5</c:v>
                </c:pt>
                <c:pt idx="3">
                  <c:v>11.5</c:v>
                </c:pt>
                <c:pt idx="4">
                  <c:v>12.5</c:v>
                </c:pt>
                <c:pt idx="5">
                  <c:v>13.5</c:v>
                </c:pt>
              </c:numCache>
            </c:numRef>
          </c:cat>
          <c:val>
            <c:numRef>
              <c:f>Histogram_Plot_Data!$I$6:$I$11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3-4CD1-B0C2-E4840FD9B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"/>
        <c:axId val="100"/>
      </c:barChart>
      <c:scatterChart>
        <c:scatterStyle val="smoothMarker"/>
        <c:varyColors val="1"/>
        <c:ser>
          <c:idx val="1"/>
          <c:order val="0"/>
          <c:tx>
            <c:strRef>
              <c:f>Histogram_Plot_Data!$M$5</c:f>
              <c:strCache>
                <c:ptCount val="1"/>
                <c:pt idx="0">
                  <c:v>NormalFrequency</c:v>
                </c:pt>
              </c:strCache>
            </c:strRef>
          </c:tx>
          <c:marker>
            <c:symbol val="none"/>
          </c:marker>
          <c:xVal>
            <c:numRef>
              <c:f>Histogram_Plot_Data!$L$6:$L$105</c:f>
              <c:numCache>
                <c:formatCode>General</c:formatCode>
                <c:ptCount val="100"/>
                <c:pt idx="0">
                  <c:v>8.8000000000000007</c:v>
                </c:pt>
                <c:pt idx="1">
                  <c:v>8.844444444444445</c:v>
                </c:pt>
                <c:pt idx="2">
                  <c:v>8.8888888888888893</c:v>
                </c:pt>
                <c:pt idx="3">
                  <c:v>8.9333333333333336</c:v>
                </c:pt>
                <c:pt idx="4">
                  <c:v>8.9777777777777779</c:v>
                </c:pt>
                <c:pt idx="5">
                  <c:v>9.0222222222222221</c:v>
                </c:pt>
                <c:pt idx="6">
                  <c:v>9.0666666666666664</c:v>
                </c:pt>
                <c:pt idx="7">
                  <c:v>9.1111111111111125</c:v>
                </c:pt>
                <c:pt idx="8">
                  <c:v>9.1555555555555568</c:v>
                </c:pt>
                <c:pt idx="9">
                  <c:v>9.2000000000000011</c:v>
                </c:pt>
                <c:pt idx="10">
                  <c:v>9.2444444444444454</c:v>
                </c:pt>
                <c:pt idx="11">
                  <c:v>9.2888888888888896</c:v>
                </c:pt>
                <c:pt idx="12">
                  <c:v>9.3333333333333339</c:v>
                </c:pt>
                <c:pt idx="13">
                  <c:v>9.3777777777777782</c:v>
                </c:pt>
                <c:pt idx="14">
                  <c:v>9.4222222222222225</c:v>
                </c:pt>
                <c:pt idx="15">
                  <c:v>9.4666666666666668</c:v>
                </c:pt>
                <c:pt idx="16">
                  <c:v>9.5111111111111111</c:v>
                </c:pt>
                <c:pt idx="17">
                  <c:v>9.5555555555555554</c:v>
                </c:pt>
                <c:pt idx="18">
                  <c:v>9.6000000000000014</c:v>
                </c:pt>
                <c:pt idx="19">
                  <c:v>9.6444444444444457</c:v>
                </c:pt>
                <c:pt idx="20">
                  <c:v>9.68888888888889</c:v>
                </c:pt>
                <c:pt idx="21">
                  <c:v>9.7333333333333343</c:v>
                </c:pt>
                <c:pt idx="22">
                  <c:v>9.7777777777777786</c:v>
                </c:pt>
                <c:pt idx="23">
                  <c:v>9.8222222222222229</c:v>
                </c:pt>
                <c:pt idx="24">
                  <c:v>9.8666666666666671</c:v>
                </c:pt>
                <c:pt idx="25">
                  <c:v>9.9111111111111114</c:v>
                </c:pt>
                <c:pt idx="26">
                  <c:v>9.9555555555555557</c:v>
                </c:pt>
                <c:pt idx="27">
                  <c:v>10</c:v>
                </c:pt>
                <c:pt idx="28">
                  <c:v>10.044444444444444</c:v>
                </c:pt>
                <c:pt idx="29">
                  <c:v>10.088888888888889</c:v>
                </c:pt>
                <c:pt idx="30">
                  <c:v>10.133333333333333</c:v>
                </c:pt>
                <c:pt idx="31">
                  <c:v>10.177777777777777</c:v>
                </c:pt>
                <c:pt idx="32">
                  <c:v>10.222222222222223</c:v>
                </c:pt>
                <c:pt idx="33">
                  <c:v>10.266666666666667</c:v>
                </c:pt>
                <c:pt idx="34">
                  <c:v>10.311111111111112</c:v>
                </c:pt>
                <c:pt idx="35">
                  <c:v>10.355555555555556</c:v>
                </c:pt>
                <c:pt idx="36">
                  <c:v>10.4</c:v>
                </c:pt>
                <c:pt idx="37">
                  <c:v>10.444444444444445</c:v>
                </c:pt>
                <c:pt idx="38">
                  <c:v>10.488888888888889</c:v>
                </c:pt>
                <c:pt idx="39">
                  <c:v>10.533333333333333</c:v>
                </c:pt>
                <c:pt idx="40">
                  <c:v>10.577777777777778</c:v>
                </c:pt>
                <c:pt idx="41">
                  <c:v>10.622222222222222</c:v>
                </c:pt>
                <c:pt idx="42">
                  <c:v>10.666666666666668</c:v>
                </c:pt>
                <c:pt idx="43">
                  <c:v>10.711111111111112</c:v>
                </c:pt>
                <c:pt idx="44">
                  <c:v>10.755555555555556</c:v>
                </c:pt>
                <c:pt idx="45">
                  <c:v>10.8</c:v>
                </c:pt>
                <c:pt idx="46">
                  <c:v>10.844444444444445</c:v>
                </c:pt>
                <c:pt idx="47">
                  <c:v>10.888888888888889</c:v>
                </c:pt>
                <c:pt idx="48">
                  <c:v>10.933333333333334</c:v>
                </c:pt>
                <c:pt idx="49">
                  <c:v>10.977777777777778</c:v>
                </c:pt>
                <c:pt idx="50">
                  <c:v>11.022222222222222</c:v>
                </c:pt>
                <c:pt idx="51">
                  <c:v>11.066666666666666</c:v>
                </c:pt>
                <c:pt idx="52">
                  <c:v>11.111111111111111</c:v>
                </c:pt>
                <c:pt idx="53">
                  <c:v>11.155555555555555</c:v>
                </c:pt>
                <c:pt idx="54">
                  <c:v>11.2</c:v>
                </c:pt>
                <c:pt idx="55">
                  <c:v>11.244444444444444</c:v>
                </c:pt>
                <c:pt idx="56">
                  <c:v>11.288888888888888</c:v>
                </c:pt>
                <c:pt idx="57">
                  <c:v>11.333333333333334</c:v>
                </c:pt>
                <c:pt idx="58">
                  <c:v>11.377777777777778</c:v>
                </c:pt>
                <c:pt idx="59">
                  <c:v>11.422222222222222</c:v>
                </c:pt>
                <c:pt idx="60">
                  <c:v>11.466666666666667</c:v>
                </c:pt>
                <c:pt idx="61">
                  <c:v>11.511111111111111</c:v>
                </c:pt>
                <c:pt idx="62">
                  <c:v>11.555555555555555</c:v>
                </c:pt>
                <c:pt idx="63">
                  <c:v>11.6</c:v>
                </c:pt>
                <c:pt idx="64">
                  <c:v>11.644444444444444</c:v>
                </c:pt>
                <c:pt idx="65">
                  <c:v>11.688888888888888</c:v>
                </c:pt>
                <c:pt idx="66">
                  <c:v>11.733333333333334</c:v>
                </c:pt>
                <c:pt idx="67">
                  <c:v>11.777777777777779</c:v>
                </c:pt>
                <c:pt idx="68">
                  <c:v>11.822222222222223</c:v>
                </c:pt>
                <c:pt idx="69">
                  <c:v>11.866666666666667</c:v>
                </c:pt>
                <c:pt idx="70">
                  <c:v>11.911111111111111</c:v>
                </c:pt>
                <c:pt idx="71">
                  <c:v>11.955555555555556</c:v>
                </c:pt>
                <c:pt idx="72">
                  <c:v>12</c:v>
                </c:pt>
                <c:pt idx="73">
                  <c:v>12.044444444444444</c:v>
                </c:pt>
                <c:pt idx="74">
                  <c:v>12.088888888888889</c:v>
                </c:pt>
                <c:pt idx="75">
                  <c:v>12.133333333333333</c:v>
                </c:pt>
                <c:pt idx="76">
                  <c:v>12.177777777777777</c:v>
                </c:pt>
                <c:pt idx="77">
                  <c:v>12.222222222222221</c:v>
                </c:pt>
                <c:pt idx="78">
                  <c:v>12.266666666666666</c:v>
                </c:pt>
                <c:pt idx="79">
                  <c:v>12.31111111111111</c:v>
                </c:pt>
                <c:pt idx="80">
                  <c:v>12.355555555555554</c:v>
                </c:pt>
                <c:pt idx="81">
                  <c:v>12.4</c:v>
                </c:pt>
                <c:pt idx="82">
                  <c:v>12.444444444444445</c:v>
                </c:pt>
                <c:pt idx="83">
                  <c:v>12.488888888888889</c:v>
                </c:pt>
                <c:pt idx="84">
                  <c:v>12.533333333333333</c:v>
                </c:pt>
                <c:pt idx="85">
                  <c:v>12.577777777777778</c:v>
                </c:pt>
                <c:pt idx="86">
                  <c:v>12.622222222222222</c:v>
                </c:pt>
                <c:pt idx="87">
                  <c:v>12.666666666666666</c:v>
                </c:pt>
                <c:pt idx="88">
                  <c:v>12.71111111111111</c:v>
                </c:pt>
                <c:pt idx="89">
                  <c:v>12.755555555555555</c:v>
                </c:pt>
                <c:pt idx="90">
                  <c:v>12.8</c:v>
                </c:pt>
                <c:pt idx="91">
                  <c:v>12.844444444444445</c:v>
                </c:pt>
                <c:pt idx="92">
                  <c:v>12.888888888888889</c:v>
                </c:pt>
                <c:pt idx="93">
                  <c:v>12.933333333333334</c:v>
                </c:pt>
                <c:pt idx="94">
                  <c:v>12.977777777777778</c:v>
                </c:pt>
                <c:pt idx="95">
                  <c:v>13.022222222222222</c:v>
                </c:pt>
                <c:pt idx="96">
                  <c:v>13.066666666666666</c:v>
                </c:pt>
                <c:pt idx="97">
                  <c:v>13.111111111111111</c:v>
                </c:pt>
                <c:pt idx="98">
                  <c:v>13.155555555555555</c:v>
                </c:pt>
                <c:pt idx="99">
                  <c:v>13.2</c:v>
                </c:pt>
              </c:numCache>
            </c:numRef>
          </c:xVal>
          <c:yVal>
            <c:numRef>
              <c:f>Histogram_Plot_Data!$M$6:$M$105</c:f>
              <c:numCache>
                <c:formatCode>General</c:formatCode>
                <c:ptCount val="100"/>
                <c:pt idx="0">
                  <c:v>2.228282918109644</c:v>
                </c:pt>
                <c:pt idx="1">
                  <c:v>2.3297379092903601</c:v>
                </c:pt>
                <c:pt idx="2">
                  <c:v>2.4338275984289206</c:v>
                </c:pt>
                <c:pt idx="3">
                  <c:v>2.5404962948042615</c:v>
                </c:pt>
                <c:pt idx="4">
                  <c:v>2.6496794018891627</c:v>
                </c:pt>
                <c:pt idx="5">
                  <c:v>2.7613032421972346</c:v>
                </c:pt>
                <c:pt idx="6">
                  <c:v>2.8752849123086177</c:v>
                </c:pt>
                <c:pt idx="7">
                  <c:v>2.9915321700943189</c:v>
                </c:pt>
                <c:pt idx="8">
                  <c:v>3.1099433560576437</c:v>
                </c:pt>
                <c:pt idx="9">
                  <c:v>3.2304073505926718</c:v>
                </c:pt>
                <c:pt idx="10">
                  <c:v>3.3528035688242888</c:v>
                </c:pt>
                <c:pt idx="11">
                  <c:v>3.477001994542452</c:v>
                </c:pt>
                <c:pt idx="12">
                  <c:v>3.6028632545753685</c:v>
                </c:pt>
                <c:pt idx="13">
                  <c:v>3.7302387347629029</c:v>
                </c:pt>
                <c:pt idx="14">
                  <c:v>3.8589707384934471</c:v>
                </c:pt>
                <c:pt idx="15">
                  <c:v>3.9888926885557803</c:v>
                </c:pt>
                <c:pt idx="16">
                  <c:v>4.1198293728330073</c:v>
                </c:pt>
                <c:pt idx="17">
                  <c:v>4.251597234129826</c:v>
                </c:pt>
                <c:pt idx="18">
                  <c:v>4.3840047041785546</c:v>
                </c:pt>
                <c:pt idx="19">
                  <c:v>4.5168525816147476</c:v>
                </c:pt>
                <c:pt idx="20">
                  <c:v>4.6499344534519977</c:v>
                </c:pt>
                <c:pt idx="21">
                  <c:v>4.7830371593186305</c:v>
                </c:pt>
                <c:pt idx="22">
                  <c:v>4.9159412974490655</c:v>
                </c:pt>
                <c:pt idx="23">
                  <c:v>5.0484217711509212</c:v>
                </c:pt>
                <c:pt idx="24">
                  <c:v>5.1802483741978094</c:v>
                </c:pt>
                <c:pt idx="25">
                  <c:v>5.3111864133290547</c:v>
                </c:pt>
                <c:pt idx="26">
                  <c:v>5.4409973657734527</c:v>
                </c:pt>
                <c:pt idx="27">
                  <c:v>5.5694395694566836</c:v>
                </c:pt>
                <c:pt idx="28">
                  <c:v>5.6962689433032319</c:v>
                </c:pt>
                <c:pt idx="29">
                  <c:v>5.8212397348056237</c:v>
                </c:pt>
                <c:pt idx="30">
                  <c:v>5.9441052918086958</c:v>
                </c:pt>
                <c:pt idx="31">
                  <c:v>6.0646188552461897</c:v>
                </c:pt>
                <c:pt idx="32">
                  <c:v>6.1825343693733643</c:v>
                </c:pt>
                <c:pt idx="33">
                  <c:v>6.2976073058640729</c:v>
                </c:pt>
                <c:pt idx="34">
                  <c:v>6.4095954979859959</c:v>
                </c:pt>
                <c:pt idx="35">
                  <c:v>6.5182599809342925</c:v>
                </c:pt>
                <c:pt idx="36">
                  <c:v>6.6233658342941943</c:v>
                </c:pt>
                <c:pt idx="37">
                  <c:v>6.7246830225173921</c:v>
                </c:pt>
                <c:pt idx="38">
                  <c:v>6.8219872292370729</c:v>
                </c:pt>
                <c:pt idx="39">
                  <c:v>6.9150606812128812</c:v>
                </c:pt>
                <c:pt idx="40">
                  <c:v>7.0036929576905376</c:v>
                </c:pt>
                <c:pt idx="41">
                  <c:v>7.0876817809818764</c:v>
                </c:pt>
                <c:pt idx="42">
                  <c:v>7.1668337841199738</c:v>
                </c:pt>
                <c:pt idx="43">
                  <c:v>7.2409652515206826</c:v>
                </c:pt>
                <c:pt idx="44">
                  <c:v>7.309902828686365</c:v>
                </c:pt>
                <c:pt idx="45">
                  <c:v>7.3734841971190495</c:v>
                </c:pt>
                <c:pt idx="46">
                  <c:v>7.4315587107685435</c:v>
                </c:pt>
                <c:pt idx="47">
                  <c:v>7.4839879905248274</c:v>
                </c:pt>
                <c:pt idx="48">
                  <c:v>7.5306464734724692</c:v>
                </c:pt>
                <c:pt idx="49">
                  <c:v>7.571421913856609</c:v>
                </c:pt>
                <c:pt idx="50">
                  <c:v>7.606215832963473</c:v>
                </c:pt>
                <c:pt idx="51">
                  <c:v>7.6349439153920189</c:v>
                </c:pt>
                <c:pt idx="52">
                  <c:v>7.6575363494850359</c:v>
                </c:pt>
                <c:pt idx="53">
                  <c:v>7.6739381099959392</c:v>
                </c:pt>
                <c:pt idx="54">
                  <c:v>7.6841091813894078</c:v>
                </c:pt>
                <c:pt idx="55">
                  <c:v>7.6880247205075216</c:v>
                </c:pt>
                <c:pt idx="56">
                  <c:v>7.6856751576759512</c:v>
                </c:pt>
                <c:pt idx="57">
                  <c:v>7.6770662356742312</c:v>
                </c:pt>
                <c:pt idx="58">
                  <c:v>7.6622189863480292</c:v>
                </c:pt>
                <c:pt idx="59">
                  <c:v>7.6411696449967366</c:v>
                </c:pt>
                <c:pt idx="60">
                  <c:v>7.6139695030240864</c:v>
                </c:pt>
                <c:pt idx="61">
                  <c:v>7.5806846996905026</c:v>
                </c:pt>
                <c:pt idx="62">
                  <c:v>7.5413959541505129</c:v>
                </c:pt>
                <c:pt idx="63">
                  <c:v>7.496198239294726</c:v>
                </c:pt>
                <c:pt idx="64">
                  <c:v>7.4452003992408793</c:v>
                </c:pt>
                <c:pt idx="65">
                  <c:v>7.3885247126300584</c:v>
                </c:pt>
                <c:pt idx="66">
                  <c:v>7.3263064041802242</c:v>
                </c:pt>
                <c:pt idx="67">
                  <c:v>7.2586931072274741</c:v>
                </c:pt>
                <c:pt idx="68">
                  <c:v>7.1858442802440861</c:v>
                </c:pt>
                <c:pt idx="69">
                  <c:v>7.1079305805598256</c:v>
                </c:pt>
                <c:pt idx="70">
                  <c:v>7.0251331987272989</c:v>
                </c:pt>
                <c:pt idx="71">
                  <c:v>6.9376431571622987</c:v>
                </c:pt>
                <c:pt idx="72">
                  <c:v>6.8456605768547405</c:v>
                </c:pt>
                <c:pt idx="73">
                  <c:v>6.7493939160841006</c:v>
                </c:pt>
                <c:pt idx="74">
                  <c:v>6.6490591851845027</c:v>
                </c:pt>
                <c:pt idx="75">
                  <c:v>6.5448791414882201</c:v>
                </c:pt>
                <c:pt idx="76">
                  <c:v>6.437082468632215</c:v>
                </c:pt>
                <c:pt idx="77">
                  <c:v>6.3259029444403296</c:v>
                </c:pt>
                <c:pt idx="78">
                  <c:v>6.2115786015940477</c:v>
                </c:pt>
                <c:pt idx="79">
                  <c:v>6.0943508852778772</c:v>
                </c:pt>
                <c:pt idx="80">
                  <c:v>5.9744638119319076</c:v>
                </c:pt>
                <c:pt idx="81">
                  <c:v>5.8521631331648187</c:v>
                </c:pt>
                <c:pt idx="82">
                  <c:v>5.7276955087767139</c:v>
                </c:pt>
                <c:pt idx="83">
                  <c:v>5.6013076927135055</c:v>
                </c:pt>
                <c:pt idx="84">
                  <c:v>5.4732457356251247</c:v>
                </c:pt>
                <c:pt idx="85">
                  <c:v>5.343754207529428</c:v>
                </c:pt>
                <c:pt idx="86">
                  <c:v>5.2130754438945655</c:v>
                </c:pt>
                <c:pt idx="87">
                  <c:v>5.0814488182461499</c:v>
                </c:pt>
                <c:pt idx="88">
                  <c:v>4.9491100441839926</c:v>
                </c:pt>
                <c:pt idx="89">
                  <c:v>4.8162905094581356</c:v>
                </c:pt>
                <c:pt idx="90">
                  <c:v>4.6832166445076462</c:v>
                </c:pt>
                <c:pt idx="91">
                  <c:v>4.5501093276102136</c:v>
                </c:pt>
                <c:pt idx="92">
                  <c:v>4.4171833285277051</c:v>
                </c:pt>
                <c:pt idx="93">
                  <c:v>4.2846467922653808</c:v>
                </c:pt>
                <c:pt idx="94">
                  <c:v>4.1527007642914846</c:v>
                </c:pt>
                <c:pt idx="95">
                  <c:v>4.0215387582923698</c:v>
                </c:pt>
                <c:pt idx="96">
                  <c:v>3.8913463672676225</c:v>
                </c:pt>
                <c:pt idx="97">
                  <c:v>3.7623009185019312</c:v>
                </c:pt>
                <c:pt idx="98">
                  <c:v>3.6345711726875836</c:v>
                </c:pt>
                <c:pt idx="99">
                  <c:v>3.508317067215049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43-4CD1-B0C2-E4840FD9B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553311"/>
        <c:axId val="2014543711"/>
      </c:scatte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 midpoint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valAx>
        <c:axId val="201454371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014553311"/>
        <c:crosses val="max"/>
        <c:crossBetween val="midCat"/>
      </c:valAx>
      <c:valAx>
        <c:axId val="2014553311"/>
        <c:scaling>
          <c:orientation val="minMax"/>
          <c:max val="13.5"/>
          <c:min val="8.5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0"/>
        </c:spPr>
        <c:crossAx val="2014543711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11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129540</xdr:colOff>
      <xdr:row>12</xdr:row>
      <xdr:rowOff>53340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502920</xdr:colOff>
      <xdr:row>11</xdr:row>
      <xdr:rowOff>68580</xdr:rowOff>
    </xdr:from>
    <xdr:ext cx="4229100" cy="31851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FE093D-9914-4B58-A555-313A541D0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shstat.eu/multivariate-analysis-in-excel/" TargetMode="External"/><Relationship Id="rId2" Type="http://schemas.openxmlformats.org/officeDocument/2006/relationships/hyperlink" Target="https://beshstat.eu/regression-and-udf-workflows-in-excel/" TargetMode="External"/><Relationship Id="rId1" Type="http://schemas.openxmlformats.org/officeDocument/2006/relationships/hyperlink" Target="https://beshstat.eu/survival-analysis-in-excel/" TargetMode="External"/><Relationship Id="rId5" Type="http://schemas.openxmlformats.org/officeDocument/2006/relationships/hyperlink" Target="https://beshstat.eu/sample-size-planning-in-excel/" TargetMode="External"/><Relationship Id="rId4" Type="http://schemas.openxmlformats.org/officeDocument/2006/relationships/hyperlink" Target="https://beshstat.eu/method-comparison-and-agreement-in-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pane ySplit="3" topLeftCell="A7" activePane="bottomLeft" state="frozen"/>
      <selection pane="bottomLeft" sqref="A1:F1"/>
    </sheetView>
  </sheetViews>
  <sheetFormatPr defaultRowHeight="14.4" x14ac:dyDescent="0.3"/>
  <cols>
    <col min="1" max="1" width="40" customWidth="1"/>
    <col min="2" max="2" width="85" customWidth="1"/>
    <col min="3" max="6" width="14" customWidth="1"/>
  </cols>
  <sheetData>
    <row r="1" spans="1:6" ht="18" x14ac:dyDescent="0.35">
      <c r="A1" s="9" t="s">
        <v>0</v>
      </c>
      <c r="B1" s="7"/>
      <c r="C1" s="7"/>
      <c r="D1" s="7"/>
      <c r="E1" s="7"/>
      <c r="F1" s="7"/>
    </row>
    <row r="3" spans="1:6" x14ac:dyDescent="0.3">
      <c r="A3" s="1" t="s">
        <v>1</v>
      </c>
    </row>
    <row r="4" spans="1:6" x14ac:dyDescent="0.3">
      <c r="A4" s="6" t="s">
        <v>2</v>
      </c>
      <c r="B4" s="7"/>
      <c r="C4" s="7"/>
      <c r="D4" s="7"/>
      <c r="E4" s="7"/>
      <c r="F4" s="7"/>
    </row>
    <row r="5" spans="1:6" x14ac:dyDescent="0.3">
      <c r="A5" s="7"/>
      <c r="B5" s="7"/>
      <c r="C5" s="7"/>
      <c r="D5" s="7"/>
      <c r="E5" s="7"/>
      <c r="F5" s="7"/>
    </row>
    <row r="7" spans="1:6" x14ac:dyDescent="0.3">
      <c r="A7" s="1" t="s">
        <v>3</v>
      </c>
    </row>
    <row r="8" spans="1:6" x14ac:dyDescent="0.3">
      <c r="A8" s="2" t="s">
        <v>4</v>
      </c>
      <c r="B8" s="2" t="s">
        <v>5</v>
      </c>
    </row>
    <row r="9" spans="1:6" x14ac:dyDescent="0.3">
      <c r="A9" s="2" t="s">
        <v>6</v>
      </c>
      <c r="B9" s="2" t="s">
        <v>7</v>
      </c>
    </row>
    <row r="12" spans="1:6" x14ac:dyDescent="0.3">
      <c r="A12" s="1" t="s">
        <v>8</v>
      </c>
    </row>
    <row r="13" spans="1:6" x14ac:dyDescent="0.3">
      <c r="A13" t="s">
        <v>9</v>
      </c>
      <c r="B13" s="3" t="s">
        <v>10</v>
      </c>
    </row>
    <row r="14" spans="1:6" x14ac:dyDescent="0.3">
      <c r="A14" t="s">
        <v>11</v>
      </c>
      <c r="B14" s="3" t="s">
        <v>12</v>
      </c>
    </row>
    <row r="15" spans="1:6" x14ac:dyDescent="0.3">
      <c r="A15" t="s">
        <v>13</v>
      </c>
      <c r="B15" s="3" t="s">
        <v>14</v>
      </c>
    </row>
    <row r="16" spans="1:6" x14ac:dyDescent="0.3">
      <c r="A16" t="s">
        <v>15</v>
      </c>
      <c r="B16" s="3" t="s">
        <v>16</v>
      </c>
    </row>
    <row r="17" spans="1:6" x14ac:dyDescent="0.3">
      <c r="A17" t="s">
        <v>17</v>
      </c>
      <c r="B17" s="3" t="s">
        <v>18</v>
      </c>
    </row>
    <row r="20" spans="1:6" x14ac:dyDescent="0.3">
      <c r="A20" s="1" t="s">
        <v>19</v>
      </c>
    </row>
    <row r="21" spans="1:6" x14ac:dyDescent="0.3">
      <c r="A21" s="7" t="s">
        <v>20</v>
      </c>
      <c r="B21" s="7"/>
      <c r="C21" s="7"/>
      <c r="D21" s="7"/>
      <c r="E21" s="7"/>
      <c r="F21" s="7"/>
    </row>
    <row r="22" spans="1:6" x14ac:dyDescent="0.3">
      <c r="A22" s="6" t="s">
        <v>21</v>
      </c>
      <c r="B22" s="7"/>
      <c r="C22" s="7"/>
      <c r="D22" s="7"/>
      <c r="E22" s="7"/>
      <c r="F22" s="7"/>
    </row>
    <row r="23" spans="1:6" x14ac:dyDescent="0.3">
      <c r="A23" s="6" t="s">
        <v>22</v>
      </c>
      <c r="B23" s="7"/>
      <c r="C23" s="7"/>
      <c r="D23" s="7"/>
      <c r="E23" s="7"/>
      <c r="F23" s="7"/>
    </row>
    <row r="24" spans="1:6" x14ac:dyDescent="0.3">
      <c r="A24" s="6" t="s">
        <v>23</v>
      </c>
      <c r="B24" s="7"/>
      <c r="C24" s="7"/>
      <c r="D24" s="7"/>
      <c r="E24" s="7"/>
      <c r="F24" s="7"/>
    </row>
    <row r="26" spans="1:6" x14ac:dyDescent="0.3">
      <c r="A26" s="1" t="s">
        <v>24</v>
      </c>
    </row>
    <row r="27" spans="1:6" x14ac:dyDescent="0.3">
      <c r="A27" s="8" t="s">
        <v>25</v>
      </c>
      <c r="B27" s="7"/>
      <c r="C27" s="7"/>
      <c r="D27" s="7"/>
      <c r="E27" s="7"/>
      <c r="F27" s="7"/>
    </row>
    <row r="28" spans="1:6" x14ac:dyDescent="0.3">
      <c r="A28" s="7"/>
      <c r="B28" s="7"/>
      <c r="C28" s="7"/>
      <c r="D28" s="7"/>
      <c r="E28" s="7"/>
      <c r="F28" s="7"/>
    </row>
    <row r="29" spans="1:6" x14ac:dyDescent="0.3">
      <c r="A29" s="7"/>
      <c r="B29" s="7"/>
      <c r="C29" s="7"/>
      <c r="D29" s="7"/>
      <c r="E29" s="7"/>
      <c r="F29" s="7"/>
    </row>
  </sheetData>
  <mergeCells count="7">
    <mergeCell ref="A24:F24"/>
    <mergeCell ref="A27:F29"/>
    <mergeCell ref="A1:F1"/>
    <mergeCell ref="A23:F23"/>
    <mergeCell ref="A22:F22"/>
    <mergeCell ref="A4:F5"/>
    <mergeCell ref="A21:F21"/>
  </mergeCells>
  <hyperlinks>
    <hyperlink ref="B13" r:id="rId1" xr:uid="{00000000-0004-0000-0000-000000000000}"/>
    <hyperlink ref="B14" r:id="rId2" xr:uid="{00000000-0004-0000-0000-000001000000}"/>
    <hyperlink ref="B15" r:id="rId3" xr:uid="{00000000-0004-0000-0000-000002000000}"/>
    <hyperlink ref="B16" r:id="rId4" xr:uid="{00000000-0004-0000-0000-000003000000}"/>
    <hyperlink ref="B17" r:id="rId5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"/>
  <sheetViews>
    <sheetView topLeftCell="G1" workbookViewId="0">
      <pane ySplit="3" topLeftCell="A4" activePane="bottomLeft" state="frozen"/>
      <selection pane="bottomLeft" activeCell="R25" sqref="R25"/>
    </sheetView>
  </sheetViews>
  <sheetFormatPr defaultRowHeight="14.4" x14ac:dyDescent="0.3"/>
  <cols>
    <col min="1" max="1" width="14" customWidth="1"/>
    <col min="2" max="2" width="12" customWidth="1"/>
    <col min="4" max="4" width="28" customWidth="1"/>
    <col min="11" max="11" width="20" customWidth="1"/>
    <col min="14" max="18" width="16" customWidth="1"/>
    <col min="20" max="20" width="18" customWidth="1"/>
    <col min="21" max="21" width="16" customWidth="1"/>
    <col min="23" max="23" width="16" customWidth="1"/>
  </cols>
  <sheetData>
    <row r="1" spans="1:23" ht="18" x14ac:dyDescent="0.35">
      <c r="A1" s="9" t="s">
        <v>26</v>
      </c>
      <c r="B1" s="7"/>
      <c r="C1" s="7"/>
      <c r="D1" s="7"/>
      <c r="E1" s="7"/>
      <c r="F1" s="7"/>
      <c r="G1" s="7"/>
      <c r="H1" s="7"/>
      <c r="I1" s="7"/>
      <c r="W1" s="4" t="s">
        <v>27</v>
      </c>
    </row>
    <row r="3" spans="1:23" x14ac:dyDescent="0.3">
      <c r="A3" s="1" t="s">
        <v>28</v>
      </c>
      <c r="D3" s="1" t="s">
        <v>29</v>
      </c>
      <c r="N3" s="1" t="s">
        <v>30</v>
      </c>
    </row>
    <row r="4" spans="1:23" x14ac:dyDescent="0.3">
      <c r="A4" s="2" t="s">
        <v>31</v>
      </c>
      <c r="B4" s="2" t="s">
        <v>32</v>
      </c>
      <c r="D4" t="s">
        <v>33</v>
      </c>
      <c r="K4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T4" s="2" t="s">
        <v>40</v>
      </c>
      <c r="U4" s="2" t="s">
        <v>41</v>
      </c>
    </row>
    <row r="5" spans="1:23" x14ac:dyDescent="0.3">
      <c r="A5">
        <v>0</v>
      </c>
      <c r="B5">
        <v>0.05</v>
      </c>
      <c r="D5" s="5" t="str" cm="1">
        <f t="array" ref="D5:H18">_xll.BESH.PLOT.ROC_POINTS(B5:B16,A5:A16)</f>
        <v>Threshold</v>
      </c>
      <c r="E5" t="str">
        <v>Sensitivity</v>
      </c>
      <c r="F5" t="str">
        <v>Specificity</v>
      </c>
      <c r="G5" t="str">
        <v>FalsePositiveRate</v>
      </c>
      <c r="H5" t="str">
        <v>TruePositiveRate</v>
      </c>
      <c r="K5" s="5" t="str" cm="1">
        <f t="array" ref="K5:L11">_xll.BESH.PLOT.ROC_STATS(B5:B16,A5:A16)</f>
        <v>Metric</v>
      </c>
      <c r="L5" t="str">
        <v>Value</v>
      </c>
      <c r="N5" t="s">
        <v>42</v>
      </c>
      <c r="O5">
        <v>0</v>
      </c>
      <c r="P5">
        <v>1</v>
      </c>
      <c r="Q5">
        <v>0</v>
      </c>
      <c r="R5">
        <v>0</v>
      </c>
      <c r="T5" t="s">
        <v>43</v>
      </c>
      <c r="U5">
        <v>0.875</v>
      </c>
    </row>
    <row r="6" spans="1:23" x14ac:dyDescent="0.3">
      <c r="A6">
        <v>0</v>
      </c>
      <c r="B6">
        <v>0.22</v>
      </c>
      <c r="D6" t="str">
        <v/>
      </c>
      <c r="E6">
        <v>1</v>
      </c>
      <c r="F6">
        <v>0</v>
      </c>
      <c r="G6">
        <v>1</v>
      </c>
      <c r="H6">
        <v>1</v>
      </c>
      <c r="K6" t="str">
        <v>Wilcoxon AUC</v>
      </c>
      <c r="L6">
        <v>0.875</v>
      </c>
      <c r="N6">
        <v>0.81</v>
      </c>
      <c r="O6">
        <v>0.16666666666666671</v>
      </c>
      <c r="P6">
        <v>1</v>
      </c>
      <c r="Q6">
        <v>0</v>
      </c>
      <c r="R6">
        <v>0.16666666666666671</v>
      </c>
      <c r="T6" t="s">
        <v>44</v>
      </c>
      <c r="U6">
        <v>0.1086977489062398</v>
      </c>
    </row>
    <row r="7" spans="1:23" x14ac:dyDescent="0.3">
      <c r="A7">
        <v>0</v>
      </c>
      <c r="B7">
        <v>0.35</v>
      </c>
      <c r="D7">
        <v>0.13500000000000001</v>
      </c>
      <c r="E7">
        <v>1</v>
      </c>
      <c r="F7">
        <v>0.16666666666666666</v>
      </c>
      <c r="G7">
        <v>0.83333333333333337</v>
      </c>
      <c r="H7">
        <v>1</v>
      </c>
      <c r="K7" t="str">
        <v>DeLong 95% Confidence Interval</v>
      </c>
      <c r="L7" t="str">
        <v>0.6620433 to 1.087957</v>
      </c>
      <c r="N7">
        <v>0.71</v>
      </c>
      <c r="O7">
        <v>0.33333333333333331</v>
      </c>
      <c r="P7">
        <v>1</v>
      </c>
      <c r="Q7">
        <v>0</v>
      </c>
      <c r="R7">
        <v>0.33333333333333331</v>
      </c>
      <c r="T7" t="s">
        <v>46</v>
      </c>
      <c r="U7">
        <v>0.6619524121437701</v>
      </c>
    </row>
    <row r="8" spans="1:23" x14ac:dyDescent="0.3">
      <c r="A8">
        <v>0</v>
      </c>
      <c r="B8">
        <v>0.3</v>
      </c>
      <c r="D8">
        <v>0.26</v>
      </c>
      <c r="E8">
        <v>1</v>
      </c>
      <c r="F8">
        <v>0.33333333333333331</v>
      </c>
      <c r="G8">
        <v>0.66666666666666674</v>
      </c>
      <c r="H8">
        <v>1</v>
      </c>
      <c r="K8" t="str">
        <v>DeLong Standard error</v>
      </c>
      <c r="L8">
        <v>0.10865337342004415</v>
      </c>
      <c r="N8">
        <v>0.62</v>
      </c>
      <c r="O8">
        <v>0.5</v>
      </c>
      <c r="P8">
        <v>0.83333333333333337</v>
      </c>
      <c r="Q8">
        <v>0.1666666666666666</v>
      </c>
      <c r="R8">
        <v>0.5</v>
      </c>
      <c r="T8" t="s">
        <v>47</v>
      </c>
      <c r="U8">
        <v>1</v>
      </c>
    </row>
    <row r="9" spans="1:23" x14ac:dyDescent="0.3">
      <c r="A9">
        <v>0</v>
      </c>
      <c r="B9">
        <v>0.62</v>
      </c>
      <c r="D9">
        <v>0.32499999999999996</v>
      </c>
      <c r="E9">
        <v>1</v>
      </c>
      <c r="F9">
        <v>0.5</v>
      </c>
      <c r="G9">
        <v>0.5</v>
      </c>
      <c r="H9">
        <v>1</v>
      </c>
      <c r="K9" t="str">
        <v>Hanley–McNeil 95% Confidence Interval</v>
      </c>
      <c r="L9" t="str">
        <v>0.6662508 to 1.083749</v>
      </c>
      <c r="N9">
        <v>0.56999999999999995</v>
      </c>
      <c r="O9">
        <v>0.66666666666666663</v>
      </c>
      <c r="P9">
        <v>0.83333333333333337</v>
      </c>
      <c r="Q9">
        <v>0.1666666666666666</v>
      </c>
      <c r="R9">
        <v>0.66666666666666663</v>
      </c>
      <c r="T9" t="s">
        <v>48</v>
      </c>
      <c r="U9" t="s">
        <v>49</v>
      </c>
    </row>
    <row r="10" spans="1:23" x14ac:dyDescent="0.3">
      <c r="A10">
        <v>1</v>
      </c>
      <c r="B10">
        <v>0.55000000000000004</v>
      </c>
      <c r="D10">
        <v>0.39</v>
      </c>
      <c r="E10">
        <v>1</v>
      </c>
      <c r="F10">
        <v>0.66666666666666663</v>
      </c>
      <c r="G10">
        <v>0.33333333333333337</v>
      </c>
      <c r="H10">
        <v>1</v>
      </c>
      <c r="K10" t="str">
        <v>Hanley–McNeil Standard error</v>
      </c>
      <c r="L10">
        <v>0.10650663954006795</v>
      </c>
      <c r="N10">
        <v>0.55000000000000004</v>
      </c>
      <c r="O10">
        <v>0.83333333333333337</v>
      </c>
      <c r="P10">
        <v>0.83333333333333337</v>
      </c>
      <c r="Q10">
        <v>0.1666666666666666</v>
      </c>
      <c r="R10">
        <v>0.83333333333333337</v>
      </c>
    </row>
    <row r="11" spans="1:23" x14ac:dyDescent="0.3">
      <c r="A11">
        <v>1</v>
      </c>
      <c r="B11">
        <v>0.62</v>
      </c>
      <c r="D11">
        <v>0.45499999999999996</v>
      </c>
      <c r="E11">
        <v>1</v>
      </c>
      <c r="F11">
        <v>0.66666666666666663</v>
      </c>
      <c r="G11">
        <v>0.33333333333333337</v>
      </c>
      <c r="H11">
        <v>1</v>
      </c>
      <c r="K11" t="str">
        <v>Two-sided p-value (AUC different from 0.5)</v>
      </c>
      <c r="L11">
        <v>3.0638987937703289E-2</v>
      </c>
      <c r="N11">
        <v>0.48</v>
      </c>
      <c r="O11">
        <v>0.83333333333333337</v>
      </c>
      <c r="P11">
        <v>0.66666666666666663</v>
      </c>
      <c r="Q11">
        <v>0.33333333333333343</v>
      </c>
      <c r="R11">
        <v>0.83333333333333337</v>
      </c>
    </row>
    <row r="12" spans="1:23" x14ac:dyDescent="0.3">
      <c r="A12">
        <v>1</v>
      </c>
      <c r="B12">
        <v>0.71</v>
      </c>
      <c r="D12">
        <v>0.51500000000000001</v>
      </c>
      <c r="E12">
        <v>0.83333333333333337</v>
      </c>
      <c r="F12">
        <v>0.83333333333333337</v>
      </c>
      <c r="G12">
        <v>0.16666666666666663</v>
      </c>
      <c r="H12">
        <v>0.83333333333333337</v>
      </c>
      <c r="N12">
        <v>0.43</v>
      </c>
      <c r="O12">
        <v>1</v>
      </c>
      <c r="P12">
        <v>0.66666666666666663</v>
      </c>
      <c r="Q12">
        <v>0.33333333333333343</v>
      </c>
      <c r="R12">
        <v>1</v>
      </c>
    </row>
    <row r="13" spans="1:23" x14ac:dyDescent="0.3">
      <c r="A13">
        <v>1</v>
      </c>
      <c r="B13">
        <v>0.43</v>
      </c>
      <c r="D13">
        <v>0.56000000000000005</v>
      </c>
      <c r="E13">
        <v>0.83333333333333337</v>
      </c>
      <c r="F13">
        <v>0.83333333333333337</v>
      </c>
      <c r="G13">
        <v>0.16666666666666663</v>
      </c>
      <c r="H13">
        <v>0.83333333333333337</v>
      </c>
      <c r="K13" s="5" t="str">
        <f>_xll.BESH.PLOT.ROC_STATS(B4:B16,A4:A16)</f>
        <v>Metric</v>
      </c>
      <c r="N13">
        <v>0.35</v>
      </c>
      <c r="O13">
        <v>1</v>
      </c>
      <c r="P13">
        <v>0.5</v>
      </c>
      <c r="Q13">
        <v>0.5</v>
      </c>
      <c r="R13">
        <v>1</v>
      </c>
    </row>
    <row r="14" spans="1:23" x14ac:dyDescent="0.3">
      <c r="A14">
        <v>1</v>
      </c>
      <c r="B14">
        <v>0.81</v>
      </c>
      <c r="D14">
        <v>0.59499999999999997</v>
      </c>
      <c r="E14">
        <v>0.66666666666666663</v>
      </c>
      <c r="F14">
        <v>0.83333333333333337</v>
      </c>
      <c r="G14">
        <v>0.16666666666666663</v>
      </c>
      <c r="H14">
        <v>0.66666666666666663</v>
      </c>
      <c r="N14">
        <v>0.3</v>
      </c>
      <c r="O14">
        <v>1</v>
      </c>
      <c r="P14">
        <v>0.33333333333333331</v>
      </c>
      <c r="Q14">
        <v>0.66666666666666674</v>
      </c>
      <c r="R14">
        <v>1</v>
      </c>
    </row>
    <row r="15" spans="1:23" x14ac:dyDescent="0.3">
      <c r="A15">
        <v>1</v>
      </c>
      <c r="B15">
        <v>0.56999999999999995</v>
      </c>
      <c r="D15">
        <v>0.66500000000000004</v>
      </c>
      <c r="E15">
        <v>0.5</v>
      </c>
      <c r="F15">
        <v>1</v>
      </c>
      <c r="G15">
        <v>0</v>
      </c>
      <c r="H15">
        <v>0.5</v>
      </c>
      <c r="N15">
        <v>0.22</v>
      </c>
      <c r="O15">
        <v>1</v>
      </c>
      <c r="P15">
        <v>0.16666666666666671</v>
      </c>
      <c r="Q15">
        <v>0.83333333333333337</v>
      </c>
      <c r="R15">
        <v>1</v>
      </c>
    </row>
    <row r="16" spans="1:23" x14ac:dyDescent="0.3">
      <c r="A16">
        <v>0</v>
      </c>
      <c r="B16">
        <v>0.48</v>
      </c>
      <c r="D16">
        <v>0.76</v>
      </c>
      <c r="E16">
        <v>0.33333333333333331</v>
      </c>
      <c r="F16">
        <v>1</v>
      </c>
      <c r="G16">
        <v>0</v>
      </c>
      <c r="H16">
        <v>0.33333333333333331</v>
      </c>
      <c r="N16">
        <v>0.05</v>
      </c>
      <c r="O16">
        <v>1</v>
      </c>
      <c r="P16">
        <v>0</v>
      </c>
      <c r="Q16">
        <v>1</v>
      </c>
      <c r="R16">
        <v>1</v>
      </c>
    </row>
    <row r="17" spans="4:8" x14ac:dyDescent="0.3">
      <c r="D17">
        <v>1.81</v>
      </c>
      <c r="E17">
        <v>0.16666666666666666</v>
      </c>
      <c r="F17">
        <v>1</v>
      </c>
      <c r="G17">
        <v>0</v>
      </c>
      <c r="H17">
        <v>0.16666666666666666</v>
      </c>
    </row>
    <row r="18" spans="4:8" x14ac:dyDescent="0.3">
      <c r="D18" t="str">
        <v/>
      </c>
      <c r="E18">
        <v>0</v>
      </c>
      <c r="F18">
        <v>1</v>
      </c>
      <c r="G18">
        <v>0</v>
      </c>
      <c r="H18">
        <v>0</v>
      </c>
    </row>
    <row r="20" spans="4:8" x14ac:dyDescent="0.3">
      <c r="D20" t="s">
        <v>45</v>
      </c>
    </row>
    <row r="21" spans="4:8" x14ac:dyDescent="0.3">
      <c r="D21" s="5" t="str" cm="1">
        <f t="array" ref="D21:H34">_xll.BESH.PLOT.ROC_POINTS(B4:B16,A4:A16)</f>
        <v>Threshold</v>
      </c>
      <c r="E21" t="str">
        <v>Sensitivity</v>
      </c>
      <c r="F21" t="str">
        <v>Specificity</v>
      </c>
      <c r="G21" t="str">
        <v>FalsePositiveRate</v>
      </c>
      <c r="H21" t="str">
        <v>TruePositiveRate</v>
      </c>
    </row>
    <row r="22" spans="4:8" x14ac:dyDescent="0.3">
      <c r="D22" t="str">
        <v/>
      </c>
      <c r="E22">
        <v>1</v>
      </c>
      <c r="F22">
        <v>0</v>
      </c>
      <c r="G22">
        <v>1</v>
      </c>
      <c r="H22">
        <v>1</v>
      </c>
    </row>
    <row r="23" spans="4:8" x14ac:dyDescent="0.3">
      <c r="D23">
        <v>0.13500000000000001</v>
      </c>
      <c r="E23">
        <v>1</v>
      </c>
      <c r="F23">
        <v>0.16666666666666666</v>
      </c>
      <c r="G23">
        <v>0.83333333333333337</v>
      </c>
      <c r="H23">
        <v>1</v>
      </c>
    </row>
    <row r="24" spans="4:8" x14ac:dyDescent="0.3">
      <c r="D24">
        <v>0.26</v>
      </c>
      <c r="E24">
        <v>1</v>
      </c>
      <c r="F24">
        <v>0.33333333333333331</v>
      </c>
      <c r="G24">
        <v>0.66666666666666674</v>
      </c>
      <c r="H24">
        <v>1</v>
      </c>
    </row>
    <row r="25" spans="4:8" x14ac:dyDescent="0.3">
      <c r="D25">
        <v>0.32499999999999996</v>
      </c>
      <c r="E25">
        <v>1</v>
      </c>
      <c r="F25">
        <v>0.5</v>
      </c>
      <c r="G25">
        <v>0.5</v>
      </c>
      <c r="H25">
        <v>1</v>
      </c>
    </row>
    <row r="26" spans="4:8" x14ac:dyDescent="0.3">
      <c r="D26">
        <v>0.39</v>
      </c>
      <c r="E26">
        <v>1</v>
      </c>
      <c r="F26">
        <v>0.66666666666666663</v>
      </c>
      <c r="G26">
        <v>0.33333333333333337</v>
      </c>
      <c r="H26">
        <v>1</v>
      </c>
    </row>
    <row r="27" spans="4:8" x14ac:dyDescent="0.3">
      <c r="D27">
        <v>0.45499999999999996</v>
      </c>
      <c r="E27">
        <v>1</v>
      </c>
      <c r="F27">
        <v>0.66666666666666663</v>
      </c>
      <c r="G27">
        <v>0.33333333333333337</v>
      </c>
      <c r="H27">
        <v>1</v>
      </c>
    </row>
    <row r="28" spans="4:8" x14ac:dyDescent="0.3">
      <c r="D28">
        <v>0.51500000000000001</v>
      </c>
      <c r="E28">
        <v>0.83333333333333337</v>
      </c>
      <c r="F28">
        <v>0.83333333333333337</v>
      </c>
      <c r="G28">
        <v>0.16666666666666663</v>
      </c>
      <c r="H28">
        <v>0.83333333333333337</v>
      </c>
    </row>
    <row r="29" spans="4:8" x14ac:dyDescent="0.3">
      <c r="D29">
        <v>0.56000000000000005</v>
      </c>
      <c r="E29">
        <v>0.83333333333333337</v>
      </c>
      <c r="F29">
        <v>0.83333333333333337</v>
      </c>
      <c r="G29">
        <v>0.16666666666666663</v>
      </c>
      <c r="H29">
        <v>0.83333333333333337</v>
      </c>
    </row>
    <row r="30" spans="4:8" x14ac:dyDescent="0.3">
      <c r="D30">
        <v>0.59499999999999997</v>
      </c>
      <c r="E30">
        <v>0.66666666666666663</v>
      </c>
      <c r="F30">
        <v>0.83333333333333337</v>
      </c>
      <c r="G30">
        <v>0.16666666666666663</v>
      </c>
      <c r="H30">
        <v>0.66666666666666663</v>
      </c>
    </row>
    <row r="31" spans="4:8" x14ac:dyDescent="0.3">
      <c r="D31">
        <v>0.66500000000000004</v>
      </c>
      <c r="E31">
        <v>0.5</v>
      </c>
      <c r="F31">
        <v>1</v>
      </c>
      <c r="G31">
        <v>0</v>
      </c>
      <c r="H31">
        <v>0.5</v>
      </c>
    </row>
    <row r="32" spans="4:8" x14ac:dyDescent="0.3">
      <c r="D32">
        <v>0.76</v>
      </c>
      <c r="E32">
        <v>0.33333333333333331</v>
      </c>
      <c r="F32">
        <v>1</v>
      </c>
      <c r="G32">
        <v>0</v>
      </c>
      <c r="H32">
        <v>0.33333333333333331</v>
      </c>
    </row>
    <row r="33" spans="1:12" x14ac:dyDescent="0.3">
      <c r="D33">
        <v>1.81</v>
      </c>
      <c r="E33">
        <v>0.16666666666666666</v>
      </c>
      <c r="F33">
        <v>1</v>
      </c>
      <c r="G33">
        <v>0</v>
      </c>
      <c r="H33">
        <v>0.16666666666666666</v>
      </c>
    </row>
    <row r="34" spans="1:12" x14ac:dyDescent="0.3">
      <c r="D34" t="str">
        <v/>
      </c>
      <c r="E34">
        <v>0</v>
      </c>
      <c r="F34">
        <v>1</v>
      </c>
      <c r="G34">
        <v>0</v>
      </c>
      <c r="H34">
        <v>0</v>
      </c>
    </row>
    <row r="36" spans="1:12" x14ac:dyDescent="0.3">
      <c r="A36" s="1" t="s">
        <v>50</v>
      </c>
      <c r="D36" s="1" t="s">
        <v>51</v>
      </c>
    </row>
    <row r="37" spans="1:12" x14ac:dyDescent="0.3">
      <c r="A37" s="2" t="s">
        <v>52</v>
      </c>
      <c r="B37" s="2" t="s">
        <v>32</v>
      </c>
      <c r="D37" t="s">
        <v>33</v>
      </c>
      <c r="K37" t="s">
        <v>34</v>
      </c>
    </row>
    <row r="38" spans="1:12" x14ac:dyDescent="0.3">
      <c r="A38" t="s">
        <v>53</v>
      </c>
      <c r="B38">
        <v>0.05</v>
      </c>
      <c r="D38" s="5" t="str" cm="1">
        <f t="array" ref="D38:H51">_xll.BESH.PLOT.ROC_POINTS(B38:B49,A38:A49)</f>
        <v>Threshold</v>
      </c>
      <c r="E38" t="str">
        <v>Sensitivity</v>
      </c>
      <c r="F38" t="str">
        <v>Specificity</v>
      </c>
      <c r="G38" t="str">
        <v>FalsePositiveRate</v>
      </c>
      <c r="H38" t="str">
        <v>TruePositiveRate</v>
      </c>
      <c r="K38" s="5" t="str" cm="1">
        <f t="array" ref="K38:L44">_xll.BESH.PLOT.ROC_STATS(B38:B49,A38:A49)</f>
        <v>Metric</v>
      </c>
      <c r="L38" t="str">
        <v>Value</v>
      </c>
    </row>
    <row r="39" spans="1:12" x14ac:dyDescent="0.3">
      <c r="A39" t="s">
        <v>53</v>
      </c>
      <c r="B39">
        <v>0.22</v>
      </c>
      <c r="D39" t="str">
        <v/>
      </c>
      <c r="E39">
        <v>1</v>
      </c>
      <c r="F39">
        <v>0</v>
      </c>
      <c r="G39">
        <v>1</v>
      </c>
      <c r="H39">
        <v>1</v>
      </c>
      <c r="K39" t="str">
        <v>Wilcoxon AUC</v>
      </c>
      <c r="L39">
        <v>0.875</v>
      </c>
    </row>
    <row r="40" spans="1:12" x14ac:dyDescent="0.3">
      <c r="A40" t="s">
        <v>53</v>
      </c>
      <c r="B40">
        <v>0.35</v>
      </c>
      <c r="D40">
        <v>0.13500000000000001</v>
      </c>
      <c r="E40">
        <v>1</v>
      </c>
      <c r="F40">
        <v>0.16666666666666666</v>
      </c>
      <c r="G40">
        <v>0.83333333333333337</v>
      </c>
      <c r="H40">
        <v>1</v>
      </c>
      <c r="K40" t="str">
        <v>DeLong 95% Confidence Interval</v>
      </c>
      <c r="L40" t="str">
        <v>0.6620433 to 1.087957</v>
      </c>
    </row>
    <row r="41" spans="1:12" x14ac:dyDescent="0.3">
      <c r="A41" t="s">
        <v>53</v>
      </c>
      <c r="B41">
        <v>0.3</v>
      </c>
      <c r="D41">
        <v>0.26</v>
      </c>
      <c r="E41">
        <v>1</v>
      </c>
      <c r="F41">
        <v>0.33333333333333331</v>
      </c>
      <c r="G41">
        <v>0.66666666666666674</v>
      </c>
      <c r="H41">
        <v>1</v>
      </c>
      <c r="K41" t="str">
        <v>DeLong Standard error</v>
      </c>
      <c r="L41">
        <v>0.10865337342004415</v>
      </c>
    </row>
    <row r="42" spans="1:12" x14ac:dyDescent="0.3">
      <c r="A42" t="s">
        <v>53</v>
      </c>
      <c r="B42">
        <v>0.62</v>
      </c>
      <c r="D42">
        <v>0.32499999999999996</v>
      </c>
      <c r="E42">
        <v>1</v>
      </c>
      <c r="F42">
        <v>0.5</v>
      </c>
      <c r="G42">
        <v>0.5</v>
      </c>
      <c r="H42">
        <v>1</v>
      </c>
      <c r="K42" t="str">
        <v>Hanley–McNeil 95% Confidence Interval</v>
      </c>
      <c r="L42" t="str">
        <v>0.6662508 to 1.083749</v>
      </c>
    </row>
    <row r="43" spans="1:12" x14ac:dyDescent="0.3">
      <c r="A43" t="s">
        <v>55</v>
      </c>
      <c r="B43">
        <v>0.55000000000000004</v>
      </c>
      <c r="D43">
        <v>0.39</v>
      </c>
      <c r="E43">
        <v>1</v>
      </c>
      <c r="F43">
        <v>0.66666666666666663</v>
      </c>
      <c r="G43">
        <v>0.33333333333333337</v>
      </c>
      <c r="H43">
        <v>1</v>
      </c>
      <c r="K43" t="str">
        <v>Hanley–McNeil Standard error</v>
      </c>
      <c r="L43">
        <v>0.10650663954006795</v>
      </c>
    </row>
    <row r="44" spans="1:12" x14ac:dyDescent="0.3">
      <c r="A44" t="s">
        <v>55</v>
      </c>
      <c r="B44">
        <v>0.62</v>
      </c>
      <c r="D44">
        <v>0.45499999999999996</v>
      </c>
      <c r="E44">
        <v>1</v>
      </c>
      <c r="F44">
        <v>0.66666666666666663</v>
      </c>
      <c r="G44">
        <v>0.33333333333333337</v>
      </c>
      <c r="H44">
        <v>1</v>
      </c>
      <c r="K44" t="str">
        <v>Two-sided p-value (AUC different from 0.5)</v>
      </c>
      <c r="L44">
        <v>3.0638987937703289E-2</v>
      </c>
    </row>
    <row r="45" spans="1:12" x14ac:dyDescent="0.3">
      <c r="A45" t="s">
        <v>55</v>
      </c>
      <c r="B45">
        <v>0.71</v>
      </c>
      <c r="D45">
        <v>0.51500000000000001</v>
      </c>
      <c r="E45">
        <v>0.83333333333333337</v>
      </c>
      <c r="F45">
        <v>0.83333333333333337</v>
      </c>
      <c r="G45">
        <v>0.16666666666666663</v>
      </c>
      <c r="H45">
        <v>0.83333333333333337</v>
      </c>
    </row>
    <row r="46" spans="1:12" x14ac:dyDescent="0.3">
      <c r="A46" t="s">
        <v>55</v>
      </c>
      <c r="B46">
        <v>0.43</v>
      </c>
      <c r="D46">
        <v>0.56000000000000005</v>
      </c>
      <c r="E46">
        <v>0.83333333333333337</v>
      </c>
      <c r="F46">
        <v>0.83333333333333337</v>
      </c>
      <c r="G46">
        <v>0.16666666666666663</v>
      </c>
      <c r="H46">
        <v>0.83333333333333337</v>
      </c>
    </row>
    <row r="47" spans="1:12" x14ac:dyDescent="0.3">
      <c r="A47" t="s">
        <v>55</v>
      </c>
      <c r="B47">
        <v>0.81</v>
      </c>
      <c r="D47">
        <v>0.59499999999999997</v>
      </c>
      <c r="E47">
        <v>0.66666666666666663</v>
      </c>
      <c r="F47">
        <v>0.83333333333333337</v>
      </c>
      <c r="G47">
        <v>0.16666666666666663</v>
      </c>
      <c r="H47">
        <v>0.66666666666666663</v>
      </c>
    </row>
    <row r="48" spans="1:12" x14ac:dyDescent="0.3">
      <c r="A48" t="s">
        <v>55</v>
      </c>
      <c r="B48">
        <v>0.56999999999999995</v>
      </c>
      <c r="D48">
        <v>0.66500000000000004</v>
      </c>
      <c r="E48">
        <v>0.5</v>
      </c>
      <c r="F48">
        <v>1</v>
      </c>
      <c r="G48">
        <v>0</v>
      </c>
      <c r="H48">
        <v>0.5</v>
      </c>
    </row>
    <row r="49" spans="1:21" x14ac:dyDescent="0.3">
      <c r="A49" t="s">
        <v>53</v>
      </c>
      <c r="B49">
        <v>0.48</v>
      </c>
      <c r="D49">
        <v>0.76</v>
      </c>
      <c r="E49">
        <v>0.33333333333333331</v>
      </c>
      <c r="F49">
        <v>1</v>
      </c>
      <c r="G49">
        <v>0</v>
      </c>
      <c r="H49">
        <v>0.33333333333333331</v>
      </c>
    </row>
    <row r="50" spans="1:21" x14ac:dyDescent="0.3">
      <c r="D50">
        <v>1.81</v>
      </c>
      <c r="E50">
        <v>0.16666666666666666</v>
      </c>
      <c r="F50">
        <v>1</v>
      </c>
      <c r="G50">
        <v>0</v>
      </c>
      <c r="H50">
        <v>0.16666666666666666</v>
      </c>
    </row>
    <row r="51" spans="1:21" x14ac:dyDescent="0.3">
      <c r="D51" t="str">
        <v/>
      </c>
      <c r="E51">
        <v>0</v>
      </c>
      <c r="F51">
        <v>1</v>
      </c>
      <c r="G51">
        <v>0</v>
      </c>
      <c r="H51">
        <v>0</v>
      </c>
    </row>
    <row r="52" spans="1:21" x14ac:dyDescent="0.3">
      <c r="D52" s="6" t="s">
        <v>54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3"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</sheetData>
  <mergeCells count="2">
    <mergeCell ref="D52:U53"/>
    <mergeCell ref="A1:I1"/>
  </mergeCells>
  <hyperlinks>
    <hyperlink ref="W1" location="README!A1" display="Back to README" xr:uid="{00000000-0004-0000-0100-000000000000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5"/>
  <sheetViews>
    <sheetView tabSelected="1" topLeftCell="K1" workbookViewId="0">
      <pane ySplit="3" topLeftCell="A4" activePane="bottomLeft" state="frozen"/>
      <selection pane="bottomLeft" activeCell="S18" sqref="S18"/>
    </sheetView>
  </sheetViews>
  <sheetFormatPr defaultRowHeight="14.4" x14ac:dyDescent="0.3"/>
  <cols>
    <col min="1" max="1" width="12" customWidth="1"/>
    <col min="7" max="7" width="28" customWidth="1"/>
    <col min="14" max="14" width="18" customWidth="1"/>
    <col min="17" max="19" width="12" customWidth="1"/>
    <col min="20" max="20" width="10" customWidth="1"/>
    <col min="21" max="21" width="14" customWidth="1"/>
    <col min="23" max="23" width="14" customWidth="1"/>
    <col min="24" max="24" width="12" customWidth="1"/>
    <col min="26" max="26" width="16" customWidth="1"/>
  </cols>
  <sheetData>
    <row r="1" spans="1:26" ht="18" x14ac:dyDescent="0.35">
      <c r="A1" s="9" t="s">
        <v>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Z1" s="4" t="s">
        <v>27</v>
      </c>
    </row>
    <row r="3" spans="1:26" x14ac:dyDescent="0.3">
      <c r="A3" s="1" t="s">
        <v>57</v>
      </c>
      <c r="G3" s="1" t="s">
        <v>29</v>
      </c>
      <c r="Q3" s="1" t="s">
        <v>30</v>
      </c>
    </row>
    <row r="4" spans="1:26" x14ac:dyDescent="0.3">
      <c r="A4" s="2" t="s">
        <v>41</v>
      </c>
      <c r="C4" s="10" t="s">
        <v>68</v>
      </c>
      <c r="G4" t="s">
        <v>58</v>
      </c>
      <c r="K4" t="s">
        <v>59</v>
      </c>
      <c r="Q4" s="2" t="s">
        <v>60</v>
      </c>
      <c r="R4" s="2" t="s">
        <v>61</v>
      </c>
      <c r="S4" s="2" t="s">
        <v>62</v>
      </c>
      <c r="T4" s="2" t="s">
        <v>63</v>
      </c>
      <c r="U4" s="2" t="s">
        <v>64</v>
      </c>
      <c r="W4" s="2" t="s">
        <v>65</v>
      </c>
      <c r="X4">
        <v>11.206666666666671</v>
      </c>
    </row>
    <row r="5" spans="1:26" x14ac:dyDescent="0.3">
      <c r="A5">
        <v>9.1</v>
      </c>
      <c r="C5" s="11" t="s">
        <v>69</v>
      </c>
      <c r="G5" s="5" t="str" cm="1">
        <f t="array" ref="G5:I11">_xll.BESH.PLOT.HIST_BINS(A5:A34)</f>
        <v>Group</v>
      </c>
      <c r="H5" t="str">
        <v>BinMidpoint</v>
      </c>
      <c r="I5" t="str">
        <v>Frequency</v>
      </c>
      <c r="K5" s="5" t="str" cm="1">
        <f t="array" ref="K5:M105">_xll.BESH.PLOT.HIST_NORMAL(A5:A34)</f>
        <v>Group</v>
      </c>
      <c r="L5" t="str">
        <v>X</v>
      </c>
      <c r="M5" t="str">
        <v>NormalFrequency</v>
      </c>
      <c r="N5" s="5" t="str" cm="1">
        <f t="array" ref="N5:P105">_xll.BESH.PLOT.HIST_NORMAL(A4:A34)</f>
        <v>Group</v>
      </c>
      <c r="O5" t="str">
        <v>X</v>
      </c>
      <c r="P5" t="str">
        <v>NormalFrequency</v>
      </c>
      <c r="Q5">
        <v>8.8000000000000007</v>
      </c>
      <c r="R5">
        <v>9.3500000000000014</v>
      </c>
      <c r="S5">
        <v>9.0750000000000011</v>
      </c>
      <c r="T5">
        <v>3</v>
      </c>
      <c r="U5">
        <v>1.351737126783854</v>
      </c>
      <c r="W5" s="2" t="s">
        <v>66</v>
      </c>
      <c r="X5">
        <v>1.31881172568949</v>
      </c>
    </row>
    <row r="6" spans="1:26" x14ac:dyDescent="0.3">
      <c r="A6">
        <v>10.4</v>
      </c>
      <c r="C6" s="11" t="s">
        <v>70</v>
      </c>
      <c r="G6" t="str">
        <v>Group 1</v>
      </c>
      <c r="H6">
        <v>8.5</v>
      </c>
      <c r="I6">
        <v>2</v>
      </c>
      <c r="K6" t="str">
        <v>Group 1</v>
      </c>
      <c r="L6">
        <v>8.8000000000000007</v>
      </c>
      <c r="M6">
        <v>2.228282918109644</v>
      </c>
      <c r="N6" t="str">
        <v>Value</v>
      </c>
      <c r="O6">
        <v>8.8000000000000007</v>
      </c>
      <c r="P6">
        <v>2.228282918109644</v>
      </c>
      <c r="Q6">
        <v>9.3500000000000014</v>
      </c>
      <c r="R6">
        <v>9.9</v>
      </c>
      <c r="S6">
        <v>9.625</v>
      </c>
      <c r="T6">
        <v>3</v>
      </c>
      <c r="U6">
        <v>2.4315189485455742</v>
      </c>
    </row>
    <row r="7" spans="1:26" x14ac:dyDescent="0.3">
      <c r="A7">
        <v>11.2</v>
      </c>
      <c r="C7" s="11" t="s">
        <v>71</v>
      </c>
      <c r="G7" t="str">
        <v>Group 1</v>
      </c>
      <c r="H7">
        <v>9.5</v>
      </c>
      <c r="I7">
        <v>4</v>
      </c>
      <c r="K7" t="str">
        <v>Group 1</v>
      </c>
      <c r="L7">
        <v>8.844444444444445</v>
      </c>
      <c r="M7">
        <v>2.3297379092903601</v>
      </c>
      <c r="N7" t="str">
        <v>Value</v>
      </c>
      <c r="O7">
        <v>8.844444444444445</v>
      </c>
      <c r="P7">
        <v>2.3297379092903601</v>
      </c>
      <c r="Q7">
        <v>9.9</v>
      </c>
      <c r="R7">
        <v>10.45</v>
      </c>
      <c r="S7">
        <v>10.175000000000001</v>
      </c>
      <c r="T7">
        <v>3</v>
      </c>
      <c r="U7">
        <v>3.6756046724224851</v>
      </c>
    </row>
    <row r="8" spans="1:26" x14ac:dyDescent="0.3">
      <c r="A8">
        <v>10.8</v>
      </c>
      <c r="C8" s="12" t="s">
        <v>72</v>
      </c>
      <c r="G8" t="str">
        <v>Group 1</v>
      </c>
      <c r="H8">
        <v>10.5</v>
      </c>
      <c r="I8">
        <v>7</v>
      </c>
      <c r="K8" t="str">
        <v>Group 1</v>
      </c>
      <c r="L8">
        <v>8.8888888888888893</v>
      </c>
      <c r="M8">
        <v>2.4338275984289206</v>
      </c>
      <c r="N8" t="str">
        <v>Value</v>
      </c>
      <c r="O8">
        <v>8.8888888888888893</v>
      </c>
      <c r="P8">
        <v>2.4338275984289206</v>
      </c>
      <c r="Q8">
        <v>10.45</v>
      </c>
      <c r="R8">
        <v>11</v>
      </c>
      <c r="S8">
        <v>10.725</v>
      </c>
      <c r="T8">
        <v>4</v>
      </c>
      <c r="U8">
        <v>4.6692341379070932</v>
      </c>
    </row>
    <row r="9" spans="1:26" x14ac:dyDescent="0.3">
      <c r="A9">
        <v>12.1</v>
      </c>
      <c r="G9" t="str">
        <v>Group 1</v>
      </c>
      <c r="H9">
        <v>11.5</v>
      </c>
      <c r="I9">
        <v>7</v>
      </c>
      <c r="K9" t="str">
        <v>Group 1</v>
      </c>
      <c r="L9">
        <v>8.9333333333333336</v>
      </c>
      <c r="M9">
        <v>2.5404962948042615</v>
      </c>
      <c r="N9" t="str">
        <v>Value</v>
      </c>
      <c r="O9">
        <v>8.9333333333333336</v>
      </c>
      <c r="P9">
        <v>2.5404962948042615</v>
      </c>
      <c r="Q9">
        <v>11</v>
      </c>
      <c r="R9">
        <v>11.55</v>
      </c>
      <c r="S9">
        <v>11.275</v>
      </c>
      <c r="T9">
        <v>4</v>
      </c>
      <c r="U9">
        <v>4.9845760887930801</v>
      </c>
    </row>
    <row r="10" spans="1:26" x14ac:dyDescent="0.3">
      <c r="A10">
        <v>12.5</v>
      </c>
      <c r="G10" t="str">
        <v>Group 1</v>
      </c>
      <c r="H10">
        <v>12.5</v>
      </c>
      <c r="I10">
        <v>7</v>
      </c>
      <c r="K10" t="str">
        <v>Group 1</v>
      </c>
      <c r="L10">
        <v>8.9777777777777779</v>
      </c>
      <c r="M10">
        <v>2.6496794018891627</v>
      </c>
      <c r="N10" t="str">
        <v>Value</v>
      </c>
      <c r="O10">
        <v>8.9777777777777779</v>
      </c>
      <c r="P10">
        <v>2.6496794018891627</v>
      </c>
      <c r="Q10">
        <v>11.55</v>
      </c>
      <c r="R10">
        <v>12.1</v>
      </c>
      <c r="S10">
        <v>11.824999999999999</v>
      </c>
      <c r="T10">
        <v>4</v>
      </c>
      <c r="U10">
        <v>4.4717398316391064</v>
      </c>
    </row>
    <row r="11" spans="1:26" x14ac:dyDescent="0.3">
      <c r="A11">
        <v>13</v>
      </c>
      <c r="G11" t="str">
        <v>Group 1</v>
      </c>
      <c r="H11">
        <v>13.5</v>
      </c>
      <c r="I11">
        <v>3</v>
      </c>
      <c r="K11" t="str">
        <v>Group 1</v>
      </c>
      <c r="L11">
        <v>9.0222222222222221</v>
      </c>
      <c r="M11">
        <v>2.7613032421972346</v>
      </c>
      <c r="N11" t="str">
        <v>Value</v>
      </c>
      <c r="O11">
        <v>9.0222222222222221</v>
      </c>
      <c r="P11">
        <v>2.7613032421972346</v>
      </c>
      <c r="Q11">
        <v>12.1</v>
      </c>
      <c r="R11">
        <v>12.65</v>
      </c>
      <c r="S11">
        <v>12.375</v>
      </c>
      <c r="T11">
        <v>3</v>
      </c>
      <c r="U11">
        <v>3.3712467979698668</v>
      </c>
    </row>
    <row r="12" spans="1:26" x14ac:dyDescent="0.3">
      <c r="A12">
        <v>11.9</v>
      </c>
      <c r="K12" t="str">
        <v>Group 1</v>
      </c>
      <c r="L12">
        <v>9.0666666666666664</v>
      </c>
      <c r="M12">
        <v>2.8752849123086177</v>
      </c>
      <c r="N12" t="str">
        <v>Value</v>
      </c>
      <c r="O12">
        <v>9.0666666666666664</v>
      </c>
      <c r="P12">
        <v>2.8752849123086177</v>
      </c>
      <c r="Q12">
        <v>12.65</v>
      </c>
      <c r="R12">
        <v>13.2</v>
      </c>
      <c r="S12">
        <v>12.925000000000001</v>
      </c>
      <c r="T12">
        <v>6</v>
      </c>
      <c r="U12">
        <v>2.1358477244606808</v>
      </c>
    </row>
    <row r="13" spans="1:26" x14ac:dyDescent="0.3">
      <c r="A13">
        <v>10.7</v>
      </c>
      <c r="K13" t="str">
        <v>Group 1</v>
      </c>
      <c r="L13">
        <v>9.1111111111111125</v>
      </c>
      <c r="M13">
        <v>2.9915321700943189</v>
      </c>
      <c r="N13" t="str">
        <v>Value</v>
      </c>
      <c r="O13">
        <v>9.1111111111111125</v>
      </c>
      <c r="P13">
        <v>2.9915321700943189</v>
      </c>
    </row>
    <row r="14" spans="1:26" x14ac:dyDescent="0.3">
      <c r="A14">
        <v>9.8000000000000007</v>
      </c>
      <c r="G14" t="s">
        <v>67</v>
      </c>
      <c r="K14" t="str">
        <v>Group 1</v>
      </c>
      <c r="L14">
        <v>9.1555555555555568</v>
      </c>
      <c r="M14">
        <v>3.1099433560576437</v>
      </c>
      <c r="N14" t="str">
        <v>Value</v>
      </c>
      <c r="O14">
        <v>9.1555555555555568</v>
      </c>
      <c r="P14">
        <v>3.1099433560576437</v>
      </c>
    </row>
    <row r="15" spans="1:26" x14ac:dyDescent="0.3">
      <c r="A15">
        <v>8.9</v>
      </c>
      <c r="G15" s="5" t="str" cm="1">
        <f t="array" ref="G15:I21">_xll.BESH.PLOT.HIST_BINS(A4:A34)</f>
        <v>Group</v>
      </c>
      <c r="H15" t="str">
        <v>BinMidpoint</v>
      </c>
      <c r="I15" t="str">
        <v>Frequency</v>
      </c>
      <c r="K15" t="str">
        <v>Group 1</v>
      </c>
      <c r="L15">
        <v>9.2000000000000011</v>
      </c>
      <c r="M15">
        <v>3.2304073505926718</v>
      </c>
      <c r="N15" t="str">
        <v>Value</v>
      </c>
      <c r="O15">
        <v>9.2000000000000011</v>
      </c>
      <c r="P15">
        <v>3.2304073505926718</v>
      </c>
    </row>
    <row r="16" spans="1:26" x14ac:dyDescent="0.3">
      <c r="A16">
        <v>10.1</v>
      </c>
      <c r="G16" t="str">
        <v>Value</v>
      </c>
      <c r="H16">
        <v>8.5</v>
      </c>
      <c r="I16">
        <v>2</v>
      </c>
      <c r="K16" t="str">
        <v>Group 1</v>
      </c>
      <c r="L16">
        <v>9.2444444444444454</v>
      </c>
      <c r="M16">
        <v>3.3528035688242888</v>
      </c>
      <c r="N16" t="str">
        <v>Value</v>
      </c>
      <c r="O16">
        <v>9.2444444444444454</v>
      </c>
      <c r="P16">
        <v>3.3528035688242888</v>
      </c>
    </row>
    <row r="17" spans="1:16" x14ac:dyDescent="0.3">
      <c r="A17">
        <v>11.4</v>
      </c>
      <c r="G17" t="str">
        <v>Value</v>
      </c>
      <c r="H17">
        <v>9.5</v>
      </c>
      <c r="I17">
        <v>4</v>
      </c>
      <c r="K17" t="str">
        <v>Group 1</v>
      </c>
      <c r="L17">
        <v>9.2888888888888896</v>
      </c>
      <c r="M17">
        <v>3.477001994542452</v>
      </c>
      <c r="N17" t="str">
        <v>Value</v>
      </c>
      <c r="O17">
        <v>9.2888888888888896</v>
      </c>
      <c r="P17">
        <v>3.477001994542452</v>
      </c>
    </row>
    <row r="18" spans="1:16" x14ac:dyDescent="0.3">
      <c r="A18">
        <v>12.9</v>
      </c>
      <c r="G18" t="str">
        <v>Value</v>
      </c>
      <c r="H18">
        <v>10.5</v>
      </c>
      <c r="I18">
        <v>7</v>
      </c>
      <c r="K18" t="str">
        <v>Group 1</v>
      </c>
      <c r="L18">
        <v>9.3333333333333339</v>
      </c>
      <c r="M18">
        <v>3.6028632545753685</v>
      </c>
      <c r="N18" t="str">
        <v>Value</v>
      </c>
      <c r="O18">
        <v>9.3333333333333339</v>
      </c>
      <c r="P18">
        <v>3.6028632545753685</v>
      </c>
    </row>
    <row r="19" spans="1:16" x14ac:dyDescent="0.3">
      <c r="A19">
        <v>13.2</v>
      </c>
      <c r="G19" t="str">
        <v>Value</v>
      </c>
      <c r="H19">
        <v>11.5</v>
      </c>
      <c r="I19">
        <v>7</v>
      </c>
      <c r="K19" t="str">
        <v>Group 1</v>
      </c>
      <c r="L19">
        <v>9.3777777777777782</v>
      </c>
      <c r="M19">
        <v>3.7302387347629029</v>
      </c>
      <c r="N19" t="str">
        <v>Value</v>
      </c>
      <c r="O19">
        <v>9.3777777777777782</v>
      </c>
      <c r="P19">
        <v>3.7302387347629029</v>
      </c>
    </row>
    <row r="20" spans="1:16" x14ac:dyDescent="0.3">
      <c r="A20">
        <v>12.7</v>
      </c>
      <c r="G20" t="str">
        <v>Value</v>
      </c>
      <c r="H20">
        <v>12.5</v>
      </c>
      <c r="I20">
        <v>7</v>
      </c>
      <c r="K20" t="str">
        <v>Group 1</v>
      </c>
      <c r="L20">
        <v>9.4222222222222225</v>
      </c>
      <c r="M20">
        <v>3.8589707384934471</v>
      </c>
      <c r="N20" t="str">
        <v>Value</v>
      </c>
      <c r="O20">
        <v>9.4222222222222225</v>
      </c>
      <c r="P20">
        <v>3.8589707384934471</v>
      </c>
    </row>
    <row r="21" spans="1:16" x14ac:dyDescent="0.3">
      <c r="A21">
        <v>11.6</v>
      </c>
      <c r="G21" t="str">
        <v>Value</v>
      </c>
      <c r="H21">
        <v>13.5</v>
      </c>
      <c r="I21">
        <v>3</v>
      </c>
      <c r="K21" t="str">
        <v>Group 1</v>
      </c>
      <c r="L21">
        <v>9.4666666666666668</v>
      </c>
      <c r="M21">
        <v>3.9888926885557803</v>
      </c>
      <c r="N21" t="str">
        <v>Value</v>
      </c>
      <c r="O21">
        <v>9.4666666666666668</v>
      </c>
      <c r="P21">
        <v>3.9888926885557803</v>
      </c>
    </row>
    <row r="22" spans="1:16" x14ac:dyDescent="0.3">
      <c r="A22">
        <v>10.9</v>
      </c>
      <c r="K22" t="str">
        <v>Group 1</v>
      </c>
      <c r="L22">
        <v>9.5111111111111111</v>
      </c>
      <c r="M22">
        <v>4.1198293728330073</v>
      </c>
      <c r="N22" t="str">
        <v>Value</v>
      </c>
      <c r="O22">
        <v>9.5111111111111111</v>
      </c>
      <c r="P22">
        <v>4.1198293728330073</v>
      </c>
    </row>
    <row r="23" spans="1:16" x14ac:dyDescent="0.3">
      <c r="A23">
        <v>9.6</v>
      </c>
      <c r="K23" t="str">
        <v>Group 1</v>
      </c>
      <c r="L23">
        <v>9.5555555555555554</v>
      </c>
      <c r="M23">
        <v>4.251597234129826</v>
      </c>
      <c r="N23" t="str">
        <v>Value</v>
      </c>
      <c r="O23">
        <v>9.5555555555555554</v>
      </c>
      <c r="P23">
        <v>4.251597234129826</v>
      </c>
    </row>
    <row r="24" spans="1:16" x14ac:dyDescent="0.3">
      <c r="A24">
        <v>8.8000000000000007</v>
      </c>
      <c r="K24" t="str">
        <v>Group 1</v>
      </c>
      <c r="L24">
        <v>9.6000000000000014</v>
      </c>
      <c r="M24">
        <v>4.3840047041785546</v>
      </c>
      <c r="N24" t="str">
        <v>Value</v>
      </c>
      <c r="O24">
        <v>9.6000000000000014</v>
      </c>
      <c r="P24">
        <v>4.3840047041785546</v>
      </c>
    </row>
    <row r="25" spans="1:16" x14ac:dyDescent="0.3">
      <c r="A25">
        <v>9.5</v>
      </c>
      <c r="K25" t="str">
        <v>Group 1</v>
      </c>
      <c r="L25">
        <v>9.6444444444444457</v>
      </c>
      <c r="M25">
        <v>4.5168525816147476</v>
      </c>
      <c r="N25" t="str">
        <v>Value</v>
      </c>
      <c r="O25">
        <v>9.6444444444444457</v>
      </c>
      <c r="P25">
        <v>4.5168525816147476</v>
      </c>
    </row>
    <row r="26" spans="1:16" x14ac:dyDescent="0.3">
      <c r="A26">
        <v>10.199999999999999</v>
      </c>
      <c r="K26" t="str">
        <v>Group 1</v>
      </c>
      <c r="L26">
        <v>9.68888888888889</v>
      </c>
      <c r="M26">
        <v>4.6499344534519977</v>
      </c>
      <c r="N26" t="str">
        <v>Value</v>
      </c>
      <c r="O26">
        <v>9.68888888888889</v>
      </c>
      <c r="P26">
        <v>4.6499344534519977</v>
      </c>
    </row>
    <row r="27" spans="1:16" x14ac:dyDescent="0.3">
      <c r="A27">
        <v>10.6</v>
      </c>
      <c r="K27" t="str">
        <v>Group 1</v>
      </c>
      <c r="L27">
        <v>9.7333333333333343</v>
      </c>
      <c r="M27">
        <v>4.7830371593186305</v>
      </c>
      <c r="N27" t="str">
        <v>Value</v>
      </c>
      <c r="O27">
        <v>9.7333333333333343</v>
      </c>
      <c r="P27">
        <v>4.7830371593186305</v>
      </c>
    </row>
    <row r="28" spans="1:16" x14ac:dyDescent="0.3">
      <c r="A28">
        <v>11.1</v>
      </c>
      <c r="K28" t="str">
        <v>Group 1</v>
      </c>
      <c r="L28">
        <v>9.7777777777777786</v>
      </c>
      <c r="M28">
        <v>4.9159412974490655</v>
      </c>
      <c r="N28" t="str">
        <v>Value</v>
      </c>
      <c r="O28">
        <v>9.7777777777777786</v>
      </c>
      <c r="P28">
        <v>4.9159412974490655</v>
      </c>
    </row>
    <row r="29" spans="1:16" x14ac:dyDescent="0.3">
      <c r="A29">
        <v>11.7</v>
      </c>
      <c r="K29" t="str">
        <v>Group 1</v>
      </c>
      <c r="L29">
        <v>9.8222222222222229</v>
      </c>
      <c r="M29">
        <v>5.0484217711509212</v>
      </c>
      <c r="N29" t="str">
        <v>Value</v>
      </c>
      <c r="O29">
        <v>9.8222222222222229</v>
      </c>
      <c r="P29">
        <v>5.0484217711509212</v>
      </c>
    </row>
    <row r="30" spans="1:16" x14ac:dyDescent="0.3">
      <c r="A30">
        <v>12.3</v>
      </c>
      <c r="K30" t="str">
        <v>Group 1</v>
      </c>
      <c r="L30">
        <v>9.8666666666666671</v>
      </c>
      <c r="M30">
        <v>5.1802483741978094</v>
      </c>
      <c r="N30" t="str">
        <v>Value</v>
      </c>
      <c r="O30">
        <v>9.8666666666666671</v>
      </c>
      <c r="P30">
        <v>5.1802483741978094</v>
      </c>
    </row>
    <row r="31" spans="1:16" x14ac:dyDescent="0.3">
      <c r="A31">
        <v>12.8</v>
      </c>
      <c r="K31" t="str">
        <v>Group 1</v>
      </c>
      <c r="L31">
        <v>9.9111111111111114</v>
      </c>
      <c r="M31">
        <v>5.3111864133290547</v>
      </c>
      <c r="N31" t="str">
        <v>Value</v>
      </c>
      <c r="O31">
        <v>9.9111111111111114</v>
      </c>
      <c r="P31">
        <v>5.3111864133290547</v>
      </c>
    </row>
    <row r="32" spans="1:16" x14ac:dyDescent="0.3">
      <c r="A32">
        <v>13.1</v>
      </c>
      <c r="K32" t="str">
        <v>Group 1</v>
      </c>
      <c r="L32">
        <v>9.9555555555555557</v>
      </c>
      <c r="M32">
        <v>5.4409973657734527</v>
      </c>
      <c r="N32" t="str">
        <v>Value</v>
      </c>
      <c r="O32">
        <v>9.9555555555555557</v>
      </c>
      <c r="P32">
        <v>5.4409973657734527</v>
      </c>
    </row>
    <row r="33" spans="1:16" x14ac:dyDescent="0.3">
      <c r="A33">
        <v>12</v>
      </c>
      <c r="K33" t="str">
        <v>Group 1</v>
      </c>
      <c r="L33">
        <v>10</v>
      </c>
      <c r="M33">
        <v>5.5694395694566836</v>
      </c>
      <c r="N33" t="str">
        <v>Value</v>
      </c>
      <c r="O33">
        <v>10</v>
      </c>
      <c r="P33">
        <v>5.5694395694566836</v>
      </c>
    </row>
    <row r="34" spans="1:16" x14ac:dyDescent="0.3">
      <c r="A34">
        <v>11.3</v>
      </c>
      <c r="K34" t="str">
        <v>Group 1</v>
      </c>
      <c r="L34">
        <v>10.044444444444444</v>
      </c>
      <c r="M34">
        <v>5.6962689433032319</v>
      </c>
      <c r="N34" t="str">
        <v>Value</v>
      </c>
      <c r="O34">
        <v>10.044444444444444</v>
      </c>
      <c r="P34">
        <v>5.6962689433032319</v>
      </c>
    </row>
    <row r="35" spans="1:16" x14ac:dyDescent="0.3">
      <c r="K35" t="str">
        <v>Group 1</v>
      </c>
      <c r="L35">
        <v>10.088888888888889</v>
      </c>
      <c r="M35">
        <v>5.8212397348056237</v>
      </c>
      <c r="N35" t="str">
        <v>Value</v>
      </c>
      <c r="O35">
        <v>10.088888888888889</v>
      </c>
      <c r="P35">
        <v>5.8212397348056237</v>
      </c>
    </row>
    <row r="36" spans="1:16" x14ac:dyDescent="0.3">
      <c r="K36" t="str">
        <v>Group 1</v>
      </c>
      <c r="L36">
        <v>10.133333333333333</v>
      </c>
      <c r="M36">
        <v>5.9441052918086958</v>
      </c>
      <c r="N36" t="str">
        <v>Value</v>
      </c>
      <c r="O36">
        <v>10.133333333333333</v>
      </c>
      <c r="P36">
        <v>5.9441052918086958</v>
      </c>
    </row>
    <row r="37" spans="1:16" x14ac:dyDescent="0.3">
      <c r="K37" t="str">
        <v>Group 1</v>
      </c>
      <c r="L37">
        <v>10.177777777777777</v>
      </c>
      <c r="M37">
        <v>6.0646188552461897</v>
      </c>
      <c r="N37" t="str">
        <v>Value</v>
      </c>
      <c r="O37">
        <v>10.177777777777777</v>
      </c>
      <c r="P37">
        <v>6.0646188552461897</v>
      </c>
    </row>
    <row r="38" spans="1:16" x14ac:dyDescent="0.3">
      <c r="K38" t="str">
        <v>Group 1</v>
      </c>
      <c r="L38">
        <v>10.222222222222223</v>
      </c>
      <c r="M38">
        <v>6.1825343693733643</v>
      </c>
      <c r="N38" t="str">
        <v>Value</v>
      </c>
      <c r="O38">
        <v>10.222222222222223</v>
      </c>
      <c r="P38">
        <v>6.1825343693733643</v>
      </c>
    </row>
    <row r="39" spans="1:16" x14ac:dyDescent="0.3">
      <c r="K39" t="str">
        <v>Group 1</v>
      </c>
      <c r="L39">
        <v>10.266666666666667</v>
      </c>
      <c r="M39">
        <v>6.2976073058640729</v>
      </c>
      <c r="N39" t="str">
        <v>Value</v>
      </c>
      <c r="O39">
        <v>10.266666666666667</v>
      </c>
      <c r="P39">
        <v>6.2976073058640729</v>
      </c>
    </row>
    <row r="40" spans="1:16" x14ac:dyDescent="0.3">
      <c r="K40" t="str">
        <v>Group 1</v>
      </c>
      <c r="L40">
        <v>10.311111111111112</v>
      </c>
      <c r="M40">
        <v>6.4095954979859959</v>
      </c>
      <c r="N40" t="str">
        <v>Value</v>
      </c>
      <c r="O40">
        <v>10.311111111111112</v>
      </c>
      <c r="P40">
        <v>6.4095954979859959</v>
      </c>
    </row>
    <row r="41" spans="1:16" x14ac:dyDescent="0.3">
      <c r="K41" t="str">
        <v>Group 1</v>
      </c>
      <c r="L41">
        <v>10.355555555555556</v>
      </c>
      <c r="M41">
        <v>6.5182599809342925</v>
      </c>
      <c r="N41" t="str">
        <v>Value</v>
      </c>
      <c r="O41">
        <v>10.355555555555556</v>
      </c>
      <c r="P41">
        <v>6.5182599809342925</v>
      </c>
    </row>
    <row r="42" spans="1:16" x14ac:dyDescent="0.3">
      <c r="K42" t="str">
        <v>Group 1</v>
      </c>
      <c r="L42">
        <v>10.4</v>
      </c>
      <c r="M42">
        <v>6.6233658342941943</v>
      </c>
      <c r="N42" t="str">
        <v>Value</v>
      </c>
      <c r="O42">
        <v>10.4</v>
      </c>
      <c r="P42">
        <v>6.6233658342941943</v>
      </c>
    </row>
    <row r="43" spans="1:16" x14ac:dyDescent="0.3">
      <c r="K43" t="str">
        <v>Group 1</v>
      </c>
      <c r="L43">
        <v>10.444444444444445</v>
      </c>
      <c r="M43">
        <v>6.7246830225173921</v>
      </c>
      <c r="N43" t="str">
        <v>Value</v>
      </c>
      <c r="O43">
        <v>10.444444444444445</v>
      </c>
      <c r="P43">
        <v>6.7246830225173921</v>
      </c>
    </row>
    <row r="44" spans="1:16" x14ac:dyDescent="0.3">
      <c r="K44" t="str">
        <v>Group 1</v>
      </c>
      <c r="L44">
        <v>10.488888888888889</v>
      </c>
      <c r="M44">
        <v>6.8219872292370729</v>
      </c>
      <c r="N44" t="str">
        <v>Value</v>
      </c>
      <c r="O44">
        <v>10.488888888888889</v>
      </c>
      <c r="P44">
        <v>6.8219872292370729</v>
      </c>
    </row>
    <row r="45" spans="1:16" x14ac:dyDescent="0.3">
      <c r="K45" t="str">
        <v>Group 1</v>
      </c>
      <c r="L45">
        <v>10.533333333333333</v>
      </c>
      <c r="M45">
        <v>6.9150606812128812</v>
      </c>
      <c r="N45" t="str">
        <v>Value</v>
      </c>
      <c r="O45">
        <v>10.533333333333333</v>
      </c>
      <c r="P45">
        <v>6.9150606812128812</v>
      </c>
    </row>
    <row r="46" spans="1:16" x14ac:dyDescent="0.3">
      <c r="K46" t="str">
        <v>Group 1</v>
      </c>
      <c r="L46">
        <v>10.577777777777778</v>
      </c>
      <c r="M46">
        <v>7.0036929576905376</v>
      </c>
      <c r="N46" t="str">
        <v>Value</v>
      </c>
      <c r="O46">
        <v>10.577777777777778</v>
      </c>
      <c r="P46">
        <v>7.0036929576905376</v>
      </c>
    </row>
    <row r="47" spans="1:16" x14ac:dyDescent="0.3">
      <c r="K47" t="str">
        <v>Group 1</v>
      </c>
      <c r="L47">
        <v>10.622222222222222</v>
      </c>
      <c r="M47">
        <v>7.0876817809818764</v>
      </c>
      <c r="N47" t="str">
        <v>Value</v>
      </c>
      <c r="O47">
        <v>10.622222222222222</v>
      </c>
      <c r="P47">
        <v>7.0876817809818764</v>
      </c>
    </row>
    <row r="48" spans="1:16" x14ac:dyDescent="0.3">
      <c r="K48" t="str">
        <v>Group 1</v>
      </c>
      <c r="L48">
        <v>10.666666666666668</v>
      </c>
      <c r="M48">
        <v>7.1668337841199738</v>
      </c>
      <c r="N48" t="str">
        <v>Value</v>
      </c>
      <c r="O48">
        <v>10.666666666666668</v>
      </c>
      <c r="P48">
        <v>7.1668337841199738</v>
      </c>
    </row>
    <row r="49" spans="11:16" x14ac:dyDescent="0.3">
      <c r="K49" t="str">
        <v>Group 1</v>
      </c>
      <c r="L49">
        <v>10.711111111111112</v>
      </c>
      <c r="M49">
        <v>7.2409652515206826</v>
      </c>
      <c r="N49" t="str">
        <v>Value</v>
      </c>
      <c r="O49">
        <v>10.711111111111112</v>
      </c>
      <c r="P49">
        <v>7.2409652515206826</v>
      </c>
    </row>
    <row r="50" spans="11:16" x14ac:dyDescent="0.3">
      <c r="K50" t="str">
        <v>Group 1</v>
      </c>
      <c r="L50">
        <v>10.755555555555556</v>
      </c>
      <c r="M50">
        <v>7.309902828686365</v>
      </c>
      <c r="N50" t="str">
        <v>Value</v>
      </c>
      <c r="O50">
        <v>10.755555555555556</v>
      </c>
      <c r="P50">
        <v>7.309902828686365</v>
      </c>
    </row>
    <row r="51" spans="11:16" x14ac:dyDescent="0.3">
      <c r="K51" t="str">
        <v>Group 1</v>
      </c>
      <c r="L51">
        <v>10.8</v>
      </c>
      <c r="M51">
        <v>7.3734841971190495</v>
      </c>
      <c r="N51" t="str">
        <v>Value</v>
      </c>
      <c r="O51">
        <v>10.8</v>
      </c>
      <c r="P51">
        <v>7.3734841971190495</v>
      </c>
    </row>
    <row r="52" spans="11:16" x14ac:dyDescent="0.3">
      <c r="K52" t="str">
        <v>Group 1</v>
      </c>
      <c r="L52">
        <v>10.844444444444445</v>
      </c>
      <c r="M52">
        <v>7.4315587107685435</v>
      </c>
      <c r="N52" t="str">
        <v>Value</v>
      </c>
      <c r="O52">
        <v>10.844444444444445</v>
      </c>
      <c r="P52">
        <v>7.4315587107685435</v>
      </c>
    </row>
    <row r="53" spans="11:16" x14ac:dyDescent="0.3">
      <c r="K53" t="str">
        <v>Group 1</v>
      </c>
      <c r="L53">
        <v>10.888888888888889</v>
      </c>
      <c r="M53">
        <v>7.4839879905248274</v>
      </c>
      <c r="N53" t="str">
        <v>Value</v>
      </c>
      <c r="O53">
        <v>10.888888888888889</v>
      </c>
      <c r="P53">
        <v>7.4839879905248274</v>
      </c>
    </row>
    <row r="54" spans="11:16" x14ac:dyDescent="0.3">
      <c r="K54" t="str">
        <v>Group 1</v>
      </c>
      <c r="L54">
        <v>10.933333333333334</v>
      </c>
      <c r="M54">
        <v>7.5306464734724692</v>
      </c>
      <c r="N54" t="str">
        <v>Value</v>
      </c>
      <c r="O54">
        <v>10.933333333333334</v>
      </c>
      <c r="P54">
        <v>7.5306464734724692</v>
      </c>
    </row>
    <row r="55" spans="11:16" x14ac:dyDescent="0.3">
      <c r="K55" t="str">
        <v>Group 1</v>
      </c>
      <c r="L55">
        <v>10.977777777777778</v>
      </c>
      <c r="M55">
        <v>7.571421913856609</v>
      </c>
      <c r="N55" t="str">
        <v>Value</v>
      </c>
      <c r="O55">
        <v>10.977777777777778</v>
      </c>
      <c r="P55">
        <v>7.571421913856609</v>
      </c>
    </row>
    <row r="56" spans="11:16" x14ac:dyDescent="0.3">
      <c r="K56" t="str">
        <v>Group 1</v>
      </c>
      <c r="L56">
        <v>11.022222222222222</v>
      </c>
      <c r="M56">
        <v>7.606215832963473</v>
      </c>
      <c r="N56" t="str">
        <v>Value</v>
      </c>
      <c r="O56">
        <v>11.022222222222222</v>
      </c>
      <c r="P56">
        <v>7.606215832963473</v>
      </c>
    </row>
    <row r="57" spans="11:16" x14ac:dyDescent="0.3">
      <c r="K57" t="str">
        <v>Group 1</v>
      </c>
      <c r="L57">
        <v>11.066666666666666</v>
      </c>
      <c r="M57">
        <v>7.6349439153920189</v>
      </c>
      <c r="N57" t="str">
        <v>Value</v>
      </c>
      <c r="O57">
        <v>11.066666666666666</v>
      </c>
      <c r="P57">
        <v>7.6349439153920189</v>
      </c>
    </row>
    <row r="58" spans="11:16" x14ac:dyDescent="0.3">
      <c r="K58" t="str">
        <v>Group 1</v>
      </c>
      <c r="L58">
        <v>11.111111111111111</v>
      </c>
      <c r="M58">
        <v>7.6575363494850359</v>
      </c>
      <c r="N58" t="str">
        <v>Value</v>
      </c>
      <c r="O58">
        <v>11.111111111111111</v>
      </c>
      <c r="P58">
        <v>7.6575363494850359</v>
      </c>
    </row>
    <row r="59" spans="11:16" x14ac:dyDescent="0.3">
      <c r="K59" t="str">
        <v>Group 1</v>
      </c>
      <c r="L59">
        <v>11.155555555555555</v>
      </c>
      <c r="M59">
        <v>7.6739381099959392</v>
      </c>
      <c r="N59" t="str">
        <v>Value</v>
      </c>
      <c r="O59">
        <v>11.155555555555555</v>
      </c>
      <c r="P59">
        <v>7.6739381099959392</v>
      </c>
    </row>
    <row r="60" spans="11:16" x14ac:dyDescent="0.3">
      <c r="K60" t="str">
        <v>Group 1</v>
      </c>
      <c r="L60">
        <v>11.2</v>
      </c>
      <c r="M60">
        <v>7.6841091813894078</v>
      </c>
      <c r="N60" t="str">
        <v>Value</v>
      </c>
      <c r="O60">
        <v>11.2</v>
      </c>
      <c r="P60">
        <v>7.6841091813894078</v>
      </c>
    </row>
    <row r="61" spans="11:16" x14ac:dyDescent="0.3">
      <c r="K61" t="str">
        <v>Group 1</v>
      </c>
      <c r="L61">
        <v>11.244444444444444</v>
      </c>
      <c r="M61">
        <v>7.6880247205075216</v>
      </c>
      <c r="N61" t="str">
        <v>Value</v>
      </c>
      <c r="O61">
        <v>11.244444444444444</v>
      </c>
      <c r="P61">
        <v>7.6880247205075216</v>
      </c>
    </row>
    <row r="62" spans="11:16" x14ac:dyDescent="0.3">
      <c r="K62" t="str">
        <v>Group 1</v>
      </c>
      <c r="L62">
        <v>11.288888888888888</v>
      </c>
      <c r="M62">
        <v>7.6856751576759512</v>
      </c>
      <c r="N62" t="str">
        <v>Value</v>
      </c>
      <c r="O62">
        <v>11.288888888888888</v>
      </c>
      <c r="P62">
        <v>7.6856751576759512</v>
      </c>
    </row>
    <row r="63" spans="11:16" x14ac:dyDescent="0.3">
      <c r="K63" t="str">
        <v>Group 1</v>
      </c>
      <c r="L63">
        <v>11.333333333333334</v>
      </c>
      <c r="M63">
        <v>7.6770662356742312</v>
      </c>
      <c r="N63" t="str">
        <v>Value</v>
      </c>
      <c r="O63">
        <v>11.333333333333334</v>
      </c>
      <c r="P63">
        <v>7.6770662356742312</v>
      </c>
    </row>
    <row r="64" spans="11:16" x14ac:dyDescent="0.3">
      <c r="K64" t="str">
        <v>Group 1</v>
      </c>
      <c r="L64">
        <v>11.377777777777778</v>
      </c>
      <c r="M64">
        <v>7.6622189863480292</v>
      </c>
      <c r="N64" t="str">
        <v>Value</v>
      </c>
      <c r="O64">
        <v>11.377777777777778</v>
      </c>
      <c r="P64">
        <v>7.6622189863480292</v>
      </c>
    </row>
    <row r="65" spans="11:16" x14ac:dyDescent="0.3">
      <c r="K65" t="str">
        <v>Group 1</v>
      </c>
      <c r="L65">
        <v>11.422222222222222</v>
      </c>
      <c r="M65">
        <v>7.6411696449967366</v>
      </c>
      <c r="N65" t="str">
        <v>Value</v>
      </c>
      <c r="O65">
        <v>11.422222222222222</v>
      </c>
      <c r="P65">
        <v>7.6411696449967366</v>
      </c>
    </row>
    <row r="66" spans="11:16" x14ac:dyDescent="0.3">
      <c r="K66" t="str">
        <v>Group 1</v>
      </c>
      <c r="L66">
        <v>11.466666666666667</v>
      </c>
      <c r="M66">
        <v>7.6139695030240864</v>
      </c>
      <c r="N66" t="str">
        <v>Value</v>
      </c>
      <c r="O66">
        <v>11.466666666666667</v>
      </c>
      <c r="P66">
        <v>7.6139695030240864</v>
      </c>
    </row>
    <row r="67" spans="11:16" x14ac:dyDescent="0.3">
      <c r="K67" t="str">
        <v>Group 1</v>
      </c>
      <c r="L67">
        <v>11.511111111111111</v>
      </c>
      <c r="M67">
        <v>7.5806846996905026</v>
      </c>
      <c r="N67" t="str">
        <v>Value</v>
      </c>
      <c r="O67">
        <v>11.511111111111111</v>
      </c>
      <c r="P67">
        <v>7.5806846996905026</v>
      </c>
    </row>
    <row r="68" spans="11:16" x14ac:dyDescent="0.3">
      <c r="K68" t="str">
        <v>Group 1</v>
      </c>
      <c r="L68">
        <v>11.555555555555555</v>
      </c>
      <c r="M68">
        <v>7.5413959541505129</v>
      </c>
      <c r="N68" t="str">
        <v>Value</v>
      </c>
      <c r="O68">
        <v>11.555555555555555</v>
      </c>
      <c r="P68">
        <v>7.5413959541505129</v>
      </c>
    </row>
    <row r="69" spans="11:16" x14ac:dyDescent="0.3">
      <c r="K69" t="str">
        <v>Group 1</v>
      </c>
      <c r="L69">
        <v>11.6</v>
      </c>
      <c r="M69">
        <v>7.496198239294726</v>
      </c>
      <c r="N69" t="str">
        <v>Value</v>
      </c>
      <c r="O69">
        <v>11.6</v>
      </c>
      <c r="P69">
        <v>7.496198239294726</v>
      </c>
    </row>
    <row r="70" spans="11:16" x14ac:dyDescent="0.3">
      <c r="K70" t="str">
        <v>Group 1</v>
      </c>
      <c r="L70">
        <v>11.644444444444444</v>
      </c>
      <c r="M70">
        <v>7.4452003992408793</v>
      </c>
      <c r="N70" t="str">
        <v>Value</v>
      </c>
      <c r="O70">
        <v>11.644444444444444</v>
      </c>
      <c r="P70">
        <v>7.4452003992408793</v>
      </c>
    </row>
    <row r="71" spans="11:16" x14ac:dyDescent="0.3">
      <c r="K71" t="str">
        <v>Group 1</v>
      </c>
      <c r="L71">
        <v>11.688888888888888</v>
      </c>
      <c r="M71">
        <v>7.3885247126300584</v>
      </c>
      <c r="N71" t="str">
        <v>Value</v>
      </c>
      <c r="O71">
        <v>11.688888888888888</v>
      </c>
      <c r="P71">
        <v>7.3885247126300584</v>
      </c>
    </row>
    <row r="72" spans="11:16" x14ac:dyDescent="0.3">
      <c r="K72" t="str">
        <v>Group 1</v>
      </c>
      <c r="L72">
        <v>11.733333333333334</v>
      </c>
      <c r="M72">
        <v>7.3263064041802242</v>
      </c>
      <c r="N72" t="str">
        <v>Value</v>
      </c>
      <c r="O72">
        <v>11.733333333333334</v>
      </c>
      <c r="P72">
        <v>7.3263064041802242</v>
      </c>
    </row>
    <row r="73" spans="11:16" x14ac:dyDescent="0.3">
      <c r="K73" t="str">
        <v>Group 1</v>
      </c>
      <c r="L73">
        <v>11.777777777777779</v>
      </c>
      <c r="M73">
        <v>7.2586931072274741</v>
      </c>
      <c r="N73" t="str">
        <v>Value</v>
      </c>
      <c r="O73">
        <v>11.777777777777779</v>
      </c>
      <c r="P73">
        <v>7.2586931072274741</v>
      </c>
    </row>
    <row r="74" spans="11:16" x14ac:dyDescent="0.3">
      <c r="K74" t="str">
        <v>Group 1</v>
      </c>
      <c r="L74">
        <v>11.822222222222223</v>
      </c>
      <c r="M74">
        <v>7.1858442802440861</v>
      </c>
      <c r="N74" t="str">
        <v>Value</v>
      </c>
      <c r="O74">
        <v>11.822222222222223</v>
      </c>
      <c r="P74">
        <v>7.1858442802440861</v>
      </c>
    </row>
    <row r="75" spans="11:16" x14ac:dyDescent="0.3">
      <c r="K75" t="str">
        <v>Group 1</v>
      </c>
      <c r="L75">
        <v>11.866666666666667</v>
      </c>
      <c r="M75">
        <v>7.1079305805598256</v>
      </c>
      <c r="N75" t="str">
        <v>Value</v>
      </c>
      <c r="O75">
        <v>11.866666666666667</v>
      </c>
      <c r="P75">
        <v>7.1079305805598256</v>
      </c>
    </row>
    <row r="76" spans="11:16" x14ac:dyDescent="0.3">
      <c r="K76" t="str">
        <v>Group 1</v>
      </c>
      <c r="L76">
        <v>11.911111111111111</v>
      </c>
      <c r="M76">
        <v>7.0251331987272989</v>
      </c>
      <c r="N76" t="str">
        <v>Value</v>
      </c>
      <c r="O76">
        <v>11.911111111111111</v>
      </c>
      <c r="P76">
        <v>7.0251331987272989</v>
      </c>
    </row>
    <row r="77" spans="11:16" x14ac:dyDescent="0.3">
      <c r="K77" t="str">
        <v>Group 1</v>
      </c>
      <c r="L77">
        <v>11.955555555555556</v>
      </c>
      <c r="M77">
        <v>6.9376431571622987</v>
      </c>
      <c r="N77" t="str">
        <v>Value</v>
      </c>
      <c r="O77">
        <v>11.955555555555556</v>
      </c>
      <c r="P77">
        <v>6.9376431571622987</v>
      </c>
    </row>
    <row r="78" spans="11:16" x14ac:dyDescent="0.3">
      <c r="K78" t="str">
        <v>Group 1</v>
      </c>
      <c r="L78">
        <v>12</v>
      </c>
      <c r="M78">
        <v>6.8456605768547405</v>
      </c>
      <c r="N78" t="str">
        <v>Value</v>
      </c>
      <c r="O78">
        <v>12</v>
      </c>
      <c r="P78">
        <v>6.8456605768547405</v>
      </c>
    </row>
    <row r="79" spans="11:16" x14ac:dyDescent="0.3">
      <c r="K79" t="str">
        <v>Group 1</v>
      </c>
      <c r="L79">
        <v>12.044444444444444</v>
      </c>
      <c r="M79">
        <v>6.7493939160841006</v>
      </c>
      <c r="N79" t="str">
        <v>Value</v>
      </c>
      <c r="O79">
        <v>12.044444444444444</v>
      </c>
      <c r="P79">
        <v>6.7493939160841006</v>
      </c>
    </row>
    <row r="80" spans="11:16" x14ac:dyDescent="0.3">
      <c r="K80" t="str">
        <v>Group 1</v>
      </c>
      <c r="L80">
        <v>12.088888888888889</v>
      </c>
      <c r="M80">
        <v>6.6490591851845027</v>
      </c>
      <c r="N80" t="str">
        <v>Value</v>
      </c>
      <c r="O80">
        <v>12.088888888888889</v>
      </c>
      <c r="P80">
        <v>6.6490591851845027</v>
      </c>
    </row>
    <row r="81" spans="11:16" x14ac:dyDescent="0.3">
      <c r="K81" t="str">
        <v>Group 1</v>
      </c>
      <c r="L81">
        <v>12.133333333333333</v>
      </c>
      <c r="M81">
        <v>6.5448791414882201</v>
      </c>
      <c r="N81" t="str">
        <v>Value</v>
      </c>
      <c r="O81">
        <v>12.133333333333333</v>
      </c>
      <c r="P81">
        <v>6.5448791414882201</v>
      </c>
    </row>
    <row r="82" spans="11:16" x14ac:dyDescent="0.3">
      <c r="K82" t="str">
        <v>Group 1</v>
      </c>
      <c r="L82">
        <v>12.177777777777777</v>
      </c>
      <c r="M82">
        <v>6.437082468632215</v>
      </c>
      <c r="N82" t="str">
        <v>Value</v>
      </c>
      <c r="O82">
        <v>12.177777777777777</v>
      </c>
      <c r="P82">
        <v>6.437082468632215</v>
      </c>
    </row>
    <row r="83" spans="11:16" x14ac:dyDescent="0.3">
      <c r="K83" t="str">
        <v>Group 1</v>
      </c>
      <c r="L83">
        <v>12.222222222222221</v>
      </c>
      <c r="M83">
        <v>6.3259029444403296</v>
      </c>
      <c r="N83" t="str">
        <v>Value</v>
      </c>
      <c r="O83">
        <v>12.222222222222221</v>
      </c>
      <c r="P83">
        <v>6.3259029444403296</v>
      </c>
    </row>
    <row r="84" spans="11:16" x14ac:dyDescent="0.3">
      <c r="K84" t="str">
        <v>Group 1</v>
      </c>
      <c r="L84">
        <v>12.266666666666666</v>
      </c>
      <c r="M84">
        <v>6.2115786015940477</v>
      </c>
      <c r="N84" t="str">
        <v>Value</v>
      </c>
      <c r="O84">
        <v>12.266666666666666</v>
      </c>
      <c r="P84">
        <v>6.2115786015940477</v>
      </c>
    </row>
    <row r="85" spans="11:16" x14ac:dyDescent="0.3">
      <c r="K85" t="str">
        <v>Group 1</v>
      </c>
      <c r="L85">
        <v>12.31111111111111</v>
      </c>
      <c r="M85">
        <v>6.0943508852778772</v>
      </c>
      <c r="N85" t="str">
        <v>Value</v>
      </c>
      <c r="O85">
        <v>12.31111111111111</v>
      </c>
      <c r="P85">
        <v>6.0943508852778772</v>
      </c>
    </row>
    <row r="86" spans="11:16" x14ac:dyDescent="0.3">
      <c r="K86" t="str">
        <v>Group 1</v>
      </c>
      <c r="L86">
        <v>12.355555555555554</v>
      </c>
      <c r="M86">
        <v>5.9744638119319076</v>
      </c>
      <c r="N86" t="str">
        <v>Value</v>
      </c>
      <c r="O86">
        <v>12.355555555555554</v>
      </c>
      <c r="P86">
        <v>5.9744638119319076</v>
      </c>
    </row>
    <row r="87" spans="11:16" x14ac:dyDescent="0.3">
      <c r="K87" t="str">
        <v>Group 1</v>
      </c>
      <c r="L87">
        <v>12.4</v>
      </c>
      <c r="M87">
        <v>5.8521631331648187</v>
      </c>
      <c r="N87" t="str">
        <v>Value</v>
      </c>
      <c r="O87">
        <v>12.4</v>
      </c>
      <c r="P87">
        <v>5.8521631331648187</v>
      </c>
    </row>
    <row r="88" spans="11:16" x14ac:dyDescent="0.3">
      <c r="K88" t="str">
        <v>Group 1</v>
      </c>
      <c r="L88">
        <v>12.444444444444445</v>
      </c>
      <c r="M88">
        <v>5.7276955087767139</v>
      </c>
      <c r="N88" t="str">
        <v>Value</v>
      </c>
      <c r="O88">
        <v>12.444444444444445</v>
      </c>
      <c r="P88">
        <v>5.7276955087767139</v>
      </c>
    </row>
    <row r="89" spans="11:16" x14ac:dyDescent="0.3">
      <c r="K89" t="str">
        <v>Group 1</v>
      </c>
      <c r="L89">
        <v>12.488888888888889</v>
      </c>
      <c r="M89">
        <v>5.6013076927135055</v>
      </c>
      <c r="N89" t="str">
        <v>Value</v>
      </c>
      <c r="O89">
        <v>12.488888888888889</v>
      </c>
      <c r="P89">
        <v>5.6013076927135055</v>
      </c>
    </row>
    <row r="90" spans="11:16" x14ac:dyDescent="0.3">
      <c r="K90" t="str">
        <v>Group 1</v>
      </c>
      <c r="L90">
        <v>12.533333333333333</v>
      </c>
      <c r="M90">
        <v>5.4732457356251247</v>
      </c>
      <c r="N90" t="str">
        <v>Value</v>
      </c>
      <c r="O90">
        <v>12.533333333333333</v>
      </c>
      <c r="P90">
        <v>5.4732457356251247</v>
      </c>
    </row>
    <row r="91" spans="11:16" x14ac:dyDescent="0.3">
      <c r="K91" t="str">
        <v>Group 1</v>
      </c>
      <c r="L91">
        <v>12.577777777777778</v>
      </c>
      <c r="M91">
        <v>5.343754207529428</v>
      </c>
      <c r="N91" t="str">
        <v>Value</v>
      </c>
      <c r="O91">
        <v>12.577777777777778</v>
      </c>
      <c r="P91">
        <v>5.343754207529428</v>
      </c>
    </row>
    <row r="92" spans="11:16" x14ac:dyDescent="0.3">
      <c r="K92" t="str">
        <v>Group 1</v>
      </c>
      <c r="L92">
        <v>12.622222222222222</v>
      </c>
      <c r="M92">
        <v>5.2130754438945655</v>
      </c>
      <c r="N92" t="str">
        <v>Value</v>
      </c>
      <c r="O92">
        <v>12.622222222222222</v>
      </c>
      <c r="P92">
        <v>5.2130754438945655</v>
      </c>
    </row>
    <row r="93" spans="11:16" x14ac:dyDescent="0.3">
      <c r="K93" t="str">
        <v>Group 1</v>
      </c>
      <c r="L93">
        <v>12.666666666666666</v>
      </c>
      <c r="M93">
        <v>5.0814488182461499</v>
      </c>
      <c r="N93" t="str">
        <v>Value</v>
      </c>
      <c r="O93">
        <v>12.666666666666666</v>
      </c>
      <c r="P93">
        <v>5.0814488182461499</v>
      </c>
    </row>
    <row r="94" spans="11:16" x14ac:dyDescent="0.3">
      <c r="K94" t="str">
        <v>Group 1</v>
      </c>
      <c r="L94">
        <v>12.71111111111111</v>
      </c>
      <c r="M94">
        <v>4.9491100441839926</v>
      </c>
      <c r="N94" t="str">
        <v>Value</v>
      </c>
      <c r="O94">
        <v>12.71111111111111</v>
      </c>
      <c r="P94">
        <v>4.9491100441839926</v>
      </c>
    </row>
    <row r="95" spans="11:16" x14ac:dyDescent="0.3">
      <c r="K95" t="str">
        <v>Group 1</v>
      </c>
      <c r="L95">
        <v>12.755555555555555</v>
      </c>
      <c r="M95">
        <v>4.8162905094581356</v>
      </c>
      <c r="N95" t="str">
        <v>Value</v>
      </c>
      <c r="O95">
        <v>12.755555555555555</v>
      </c>
      <c r="P95">
        <v>4.8162905094581356</v>
      </c>
    </row>
    <row r="96" spans="11:16" x14ac:dyDescent="0.3">
      <c r="K96" t="str">
        <v>Group 1</v>
      </c>
      <c r="L96">
        <v>12.8</v>
      </c>
      <c r="M96">
        <v>4.6832166445076462</v>
      </c>
      <c r="N96" t="str">
        <v>Value</v>
      </c>
      <c r="O96">
        <v>12.8</v>
      </c>
      <c r="P96">
        <v>4.6832166445076462</v>
      </c>
    </row>
    <row r="97" spans="11:16" x14ac:dyDescent="0.3">
      <c r="K97" t="str">
        <v>Group 1</v>
      </c>
      <c r="L97">
        <v>12.844444444444445</v>
      </c>
      <c r="M97">
        <v>4.5501093276102136</v>
      </c>
      <c r="N97" t="str">
        <v>Value</v>
      </c>
      <c r="O97">
        <v>12.844444444444445</v>
      </c>
      <c r="P97">
        <v>4.5501093276102136</v>
      </c>
    </row>
    <row r="98" spans="11:16" x14ac:dyDescent="0.3">
      <c r="K98" t="str">
        <v>Group 1</v>
      </c>
      <c r="L98">
        <v>12.888888888888889</v>
      </c>
      <c r="M98">
        <v>4.4171833285277051</v>
      </c>
      <c r="N98" t="str">
        <v>Value</v>
      </c>
      <c r="O98">
        <v>12.888888888888889</v>
      </c>
      <c r="P98">
        <v>4.4171833285277051</v>
      </c>
    </row>
    <row r="99" spans="11:16" x14ac:dyDescent="0.3">
      <c r="K99" t="str">
        <v>Group 1</v>
      </c>
      <c r="L99">
        <v>12.933333333333334</v>
      </c>
      <c r="M99">
        <v>4.2846467922653808</v>
      </c>
      <c r="N99" t="str">
        <v>Value</v>
      </c>
      <c r="O99">
        <v>12.933333333333334</v>
      </c>
      <c r="P99">
        <v>4.2846467922653808</v>
      </c>
    </row>
    <row r="100" spans="11:16" x14ac:dyDescent="0.3">
      <c r="K100" t="str">
        <v>Group 1</v>
      </c>
      <c r="L100">
        <v>12.977777777777778</v>
      </c>
      <c r="M100">
        <v>4.1527007642914846</v>
      </c>
      <c r="N100" t="str">
        <v>Value</v>
      </c>
      <c r="O100">
        <v>12.977777777777778</v>
      </c>
      <c r="P100">
        <v>4.1527007642914846</v>
      </c>
    </row>
    <row r="101" spans="11:16" x14ac:dyDescent="0.3">
      <c r="K101" t="str">
        <v>Group 1</v>
      </c>
      <c r="L101">
        <v>13.022222222222222</v>
      </c>
      <c r="M101">
        <v>4.0215387582923698</v>
      </c>
      <c r="N101" t="str">
        <v>Value</v>
      </c>
      <c r="O101">
        <v>13.022222222222222</v>
      </c>
      <c r="P101">
        <v>4.0215387582923698</v>
      </c>
    </row>
    <row r="102" spans="11:16" x14ac:dyDescent="0.3">
      <c r="K102" t="str">
        <v>Group 1</v>
      </c>
      <c r="L102">
        <v>13.066666666666666</v>
      </c>
      <c r="M102">
        <v>3.8913463672676225</v>
      </c>
      <c r="N102" t="str">
        <v>Value</v>
      </c>
      <c r="O102">
        <v>13.066666666666666</v>
      </c>
      <c r="P102">
        <v>3.8913463672676225</v>
      </c>
    </row>
    <row r="103" spans="11:16" x14ac:dyDescent="0.3">
      <c r="K103" t="str">
        <v>Group 1</v>
      </c>
      <c r="L103">
        <v>13.111111111111111</v>
      </c>
      <c r="M103">
        <v>3.7623009185019312</v>
      </c>
      <c r="N103" t="str">
        <v>Value</v>
      </c>
      <c r="O103">
        <v>13.111111111111111</v>
      </c>
      <c r="P103">
        <v>3.7623009185019312</v>
      </c>
    </row>
    <row r="104" spans="11:16" x14ac:dyDescent="0.3">
      <c r="K104" t="str">
        <v>Group 1</v>
      </c>
      <c r="L104">
        <v>13.155555555555555</v>
      </c>
      <c r="M104">
        <v>3.6345711726875836</v>
      </c>
      <c r="N104" t="str">
        <v>Value</v>
      </c>
      <c r="O104">
        <v>13.155555555555555</v>
      </c>
      <c r="P104">
        <v>3.6345711726875836</v>
      </c>
    </row>
    <row r="105" spans="11:16" x14ac:dyDescent="0.3">
      <c r="K105" t="str">
        <v>Group 1</v>
      </c>
      <c r="L105">
        <v>13.2</v>
      </c>
      <c r="M105">
        <v>3.508317067215049</v>
      </c>
      <c r="N105" t="str">
        <v>Value</v>
      </c>
      <c r="O105">
        <v>13.2</v>
      </c>
      <c r="P105">
        <v>3.508317067215049</v>
      </c>
    </row>
  </sheetData>
  <mergeCells count="1">
    <mergeCell ref="A1:L1"/>
  </mergeCells>
  <hyperlinks>
    <hyperlink ref="Z1" location="README!A1" display="Back to README" xr:uid="{00000000-0004-0000-0200-000000000000}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ROC_Plot_Data</vt:lpstr>
      <vt:lpstr>Histogram_Plot_Data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Slezák</cp:lastModifiedBy>
  <dcterms:created xsi:type="dcterms:W3CDTF">2026-04-16T08:55:56Z</dcterms:created>
  <dcterms:modified xsi:type="dcterms:W3CDTF">2026-04-16T09:34:05Z</dcterms:modified>
</cp:coreProperties>
</file>