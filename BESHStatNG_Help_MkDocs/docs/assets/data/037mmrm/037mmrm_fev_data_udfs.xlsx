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2C55BC82-0C6A-4128-ADF9-A621E5EB1548}" xr6:coauthVersionLast="47" xr6:coauthVersionMax="47" xr10:uidLastSave="{00000000-0000-0000-0000-000000000000}"/>
  <bookViews>
    <workbookView xWindow="-108" yWindow="-108" windowWidth="23256" windowHeight="12456" xr2:uid="{7239428D-BE31-4024-B224-A568E78291DA}"/>
  </bookViews>
  <sheets>
    <sheet name="037mmrm_fev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 a="1"/>
  <c r="Q1" i="1" a="1"/>
  <c r="Q1" i="1" l="1"/>
  <c r="Q6" i="1"/>
  <c r="Z17" i="1" a="1"/>
  <c r="AC17" i="1" a="1"/>
  <c r="AJ1" i="1" a="1"/>
  <c r="Q18" i="1" a="1"/>
  <c r="Z1" i="1" a="1"/>
  <c r="Z1" i="1" l="1"/>
  <c r="Q18" i="1"/>
  <c r="AJ1" i="1"/>
  <c r="AC17" i="1"/>
  <c r="Z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<sst xmlns="http://schemas.openxmlformats.org/spreadsheetml/2006/main" count="4036" uniqueCount="242">
  <si>
    <t>USUBJID</t>
  </si>
  <si>
    <t>SUBJID</t>
  </si>
  <si>
    <t>AVISIT</t>
  </si>
  <si>
    <t>ARMCD</t>
  </si>
  <si>
    <t>ARMCDN</t>
  </si>
  <si>
    <t>RACE</t>
  </si>
  <si>
    <t>RACEN</t>
  </si>
  <si>
    <t>SEX</t>
  </si>
  <si>
    <t>SEXN</t>
  </si>
  <si>
    <t>FEV1_BL</t>
  </si>
  <si>
    <t>FEV1</t>
  </si>
  <si>
    <t>WEIGHT</t>
  </si>
  <si>
    <t>VISITN</t>
  </si>
  <si>
    <t>VISITN2</t>
  </si>
  <si>
    <t>PT1</t>
  </si>
  <si>
    <t>VIS1</t>
  </si>
  <si>
    <t>TRT</t>
  </si>
  <si>
    <t>Black or African American</t>
  </si>
  <si>
    <t>Female</t>
  </si>
  <si>
    <t>VIS2</t>
  </si>
  <si>
    <t>VIS3</t>
  </si>
  <si>
    <t>VIS4</t>
  </si>
  <si>
    <t>PT2</t>
  </si>
  <si>
    <t>PBO</t>
  </si>
  <si>
    <t>Asian</t>
  </si>
  <si>
    <t>Male</t>
  </si>
  <si>
    <t>PT3</t>
  </si>
  <si>
    <t>PT4</t>
  </si>
  <si>
    <t>PT5</t>
  </si>
  <si>
    <t>PT6</t>
  </si>
  <si>
    <t>PT7</t>
  </si>
  <si>
    <t>PT8</t>
  </si>
  <si>
    <t>PT9</t>
  </si>
  <si>
    <t>White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</si>
  <si>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</si>
  <si>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</si>
  <si>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</si>
  <si>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</si>
  <si>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</si>
  <si>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</si>
  <si>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</si>
  <si>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</si>
  <si>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</si>
  <si>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</si>
  <si>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</si>
  <si>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</si>
  <si>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</si>
  <si>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</si>
  <si>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</si>
  <si>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</si>
  <si>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</si>
  <si>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</si>
  <si>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</si>
  <si>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</si>
  <si>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</si>
  <si>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</si>
  <si>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</si>
  <si>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</si>
  <si>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</si>
  <si>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</si>
  <si>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</si>
  <si>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</si>
  <si>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</si>
  <si>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</si>
  <si>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</si>
  <si>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</si>
  <si>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</si>
  <si>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</si>
  <si>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PT44</t>
  </si>
  <si>
    <t>PT45</t>
  </si>
  <si>
    <t>PT46</t>
  </si>
  <si>
    <t>PT47</t>
  </si>
  <si>
    <t>PT48</t>
  </si>
  <si>
    <t>PT49</t>
  </si>
  <si>
    <t>PT50</t>
  </si>
  <si>
    <t>PT51</t>
  </si>
  <si>
    <t>PT52</t>
  </si>
  <si>
    <t>PT53</t>
  </si>
  <si>
    <t>PT54</t>
  </si>
  <si>
    <t>PT55</t>
  </si>
  <si>
    <t>PT56</t>
  </si>
  <si>
    <t>PT57</t>
  </si>
  <si>
    <t>PT58</t>
  </si>
  <si>
    <t>PT59</t>
  </si>
  <si>
    <t>PT60</t>
  </si>
  <si>
    <t>PT61</t>
  </si>
  <si>
    <t>PT62</t>
  </si>
  <si>
    <t>PT63</t>
  </si>
  <si>
    <t>PT64</t>
  </si>
  <si>
    <t>PT65</t>
  </si>
  <si>
    <t>PT66</t>
  </si>
  <si>
    <t>PT67</t>
  </si>
  <si>
    <t>PT68</t>
  </si>
  <si>
    <t>PT69</t>
  </si>
  <si>
    <t>PT70</t>
  </si>
  <si>
    <t>PT71</t>
  </si>
  <si>
    <t>PT72</t>
  </si>
  <si>
    <t>PT73</t>
  </si>
  <si>
    <t>PT74</t>
  </si>
  <si>
    <t>PT75</t>
  </si>
  <si>
    <t>PT76</t>
  </si>
  <si>
    <t>PT77</t>
  </si>
  <si>
    <t>PT78</t>
  </si>
  <si>
    <t>PT79</t>
  </si>
  <si>
    <t>PT80</t>
  </si>
  <si>
    <t>PT81</t>
  </si>
  <si>
    <t>PT82</t>
  </si>
  <si>
    <t>PT83</t>
  </si>
  <si>
    <t>PT84</t>
  </si>
  <si>
    <t>PT85</t>
  </si>
  <si>
    <t>PT86</t>
  </si>
  <si>
    <t>PT87</t>
  </si>
  <si>
    <t>PT88</t>
  </si>
  <si>
    <t>PT89</t>
  </si>
  <si>
    <t>PT90</t>
  </si>
  <si>
    <t>PT91</t>
  </si>
  <si>
    <t>PT92</t>
  </si>
  <si>
    <t>PT93</t>
  </si>
  <si>
    <t>PT94</t>
  </si>
  <si>
    <t>PT95</t>
  </si>
  <si>
    <t>PT96</t>
  </si>
  <si>
    <t>PT97</t>
  </si>
  <si>
    <t>PT98</t>
  </si>
  <si>
    <t>PT99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</si>
  <si>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</si>
  <si>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</si>
  <si>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</si>
  <si>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</si>
  <si>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</si>
  <si>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</si>
  <si>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</si>
  <si>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</si>
  <si>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</si>
  <si>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</si>
  <si>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</si>
  <si>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</si>
  <si>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</si>
  <si>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</si>
  <si>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</si>
  <si>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</si>
  <si>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</si>
  <si>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</si>
  <si>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</si>
  <si>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PT119</t>
  </si>
  <si>
    <t>PT120</t>
  </si>
  <si>
    <t>PT121</t>
  </si>
  <si>
    <t>PT122</t>
  </si>
  <si>
    <t>PT123</t>
  </si>
  <si>
    <t>PT124</t>
  </si>
  <si>
    <t>PT125</t>
  </si>
  <si>
    <t>PT126</t>
  </si>
  <si>
    <t>PT127</t>
  </si>
  <si>
    <t>PT128</t>
  </si>
  <si>
    <t>PT129</t>
  </si>
  <si>
    <t>PT130</t>
  </si>
  <si>
    <t>PT131</t>
  </si>
  <si>
    <t>PT132</t>
  </si>
  <si>
    <t>PT133</t>
  </si>
  <si>
    <t>PT134</t>
  </si>
  <si>
    <t>PT135</t>
  </si>
  <si>
    <t>PT136</t>
  </si>
  <si>
    <t>PT137</t>
  </si>
  <si>
    <t>PT138</t>
  </si>
  <si>
    <t>PT139</t>
  </si>
  <si>
    <t>PT140</t>
  </si>
  <si>
    <t>PT141</t>
  </si>
  <si>
    <t>PT142</t>
  </si>
  <si>
    <t>PT143</t>
  </si>
  <si>
    <t>PT144</t>
  </si>
  <si>
    <t>PT145</t>
  </si>
  <si>
    <t>PT146</t>
  </si>
  <si>
    <t>PT147</t>
  </si>
  <si>
    <t>PT148</t>
  </si>
  <si>
    <t>PT149</t>
  </si>
  <si>
    <t>PT150</t>
  </si>
  <si>
    <t>PT151</t>
  </si>
  <si>
    <t>PT152</t>
  </si>
  <si>
    <t>PT153</t>
  </si>
  <si>
    <t>PT154</t>
  </si>
  <si>
    <t>PT155</t>
  </si>
  <si>
    <t>PT156</t>
  </si>
  <si>
    <t>PT157</t>
  </si>
  <si>
    <t>PT158</t>
  </si>
  <si>
    <t>PT159</t>
  </si>
  <si>
    <t>PT160</t>
  </si>
  <si>
    <t>PT161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</si>
  <si>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</si>
  <si>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</si>
  <si>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</si>
  <si>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</si>
  <si>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</si>
  <si>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</si>
  <si>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</si>
  <si>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</si>
  <si>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</si>
  <si>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</si>
  <si>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</si>
  <si>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</si>
  <si>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</si>
  <si>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</si>
  <si>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</si>
  <si>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</si>
  <si>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</si>
  <si>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</si>
  <si>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</si>
  <si>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</si>
  <si>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</si>
  <si>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</si>
  <si>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</si>
  <si>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</si>
  <si>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</si>
  <si>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</si>
  <si>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</si>
  <si>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</si>
  <si>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</si>
  <si>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</si>
  <si>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</si>
  <si>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</si>
  <si>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</si>
  <si>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</si>
  <si>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</si>
  <si>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</si>
  <si>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</si>
  <si>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</si>
  <si>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</si>
  <si>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factor(g)+factor(i)+factor(e)+factor(m)+e:m</t>
  </si>
  <si>
    <t>label</t>
  </si>
  <si>
    <t>ARMCDN[2]</t>
  </si>
  <si>
    <t>SEXN[1]</t>
  </si>
  <si>
    <t>VISITN[2]</t>
  </si>
  <si>
    <t>VISITN[3]</t>
  </si>
  <si>
    <t>VISITN[4]</t>
  </si>
  <si>
    <t>PBO Female vs TRT Males At Vis1</t>
  </si>
  <si>
    <t>PBO Female vs TRT Males At Vis2</t>
  </si>
  <si>
    <t>PBO Female vs TRT Males At Vis3</t>
  </si>
  <si>
    <t>PBO Female vs TRT Males At Vis4</t>
  </si>
  <si>
    <t>Fit handle:</t>
  </si>
  <si>
    <t>Custom Contrasts:</t>
  </si>
  <si>
    <t>Coefficient table</t>
  </si>
  <si>
    <t>Fit statistic table</t>
  </si>
  <si>
    <t>Complete results table</t>
  </si>
  <si>
    <t>Type III test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</si>
</sst>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CCE6-E3BF-4F99-A181-9FF188A75415}">
  <dimension ref="A1:AS801"/>
  <sheetViews>
    <sheetView tabSelected="1" workbookViewId="0">
      <selection activeCell="AI1" sqref="AI1"/>
    </sheetView>
  </sheetViews>
  <sheetFormatPr defaultRowHeight="14.4" x14ac:dyDescent="0.3"/>
  <cols>
    <col min="16" max="16" width="17.5546875" customWidth="1"/>
    <col min="17" max="17" width="29.6640625" customWidth="1"/>
    <col min="19" max="19" width="11" customWidth="1"/>
    <col min="25" max="25" width="14.6640625" customWidth="1"/>
    <col min="26" max="26" width="18.77734375" customWidth="1"/>
    <col min="28" max="28" width="20.5546875" customWidth="1"/>
    <col min="35" max="35" width="15.44140625" customWidth="1"/>
  </cols>
  <sheetData>
    <row r="1" spans="1:45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2" t="s">
        <v>236</v>
      </c>
      <c r="Q1" s="1" t="str" cm="1">
        <f t="array" ref="Q1">_xll.BESH.REGR.MMRM_FIT(K2:K801,E2:M801,B2:B801,M2:M801,E1:M1,,,"kr",,"factor(g)+factor(i)+factor(e)+factor(m)+e:m","absolute")</f>
        <v>MMRM:d470de6c749a48418fa338d16fcbdd4d</v>
      </c>
      <c r="Y1" s="2" t="s">
        <v>238</v>
      </c>
      <c r="Z1" t="str" cm="1">
        <f t="array" ref="Z1:AG15">_xll.BESH.REGR.MMRM_COEF(Q1)</f>
        <v>Fixed effects</v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I1" s="2" t="s">
        <v>241</v>
      </c>
      <c r="AJ1" t="str" cm="1">
        <f t="array" ref="AJ1:AS9">_xll.BESH.REGR.MMRM_TYPE3(Q1)</f>
        <v>Kenward-Roger term-level F tests</v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</row>
    <row r="2" spans="1:45" x14ac:dyDescent="0.3">
      <c r="A2" t="s">
        <v>14</v>
      </c>
      <c r="B2">
        <v>1</v>
      </c>
      <c r="C2" t="s">
        <v>15</v>
      </c>
      <c r="D2" t="s">
        <v>16</v>
      </c>
      <c r="E2">
        <v>2</v>
      </c>
      <c r="F2" t="s">
        <v>17</v>
      </c>
      <c r="G2">
        <v>2</v>
      </c>
      <c r="H2" t="s">
        <v>18</v>
      </c>
      <c r="I2">
        <v>1</v>
      </c>
      <c r="J2">
        <v>25.271435090000001</v>
      </c>
      <c r="L2">
        <v>0.67672311699999999</v>
      </c>
      <c r="M2">
        <v>1</v>
      </c>
      <c r="N2">
        <v>-0.62645381099999997</v>
      </c>
      <c r="Z2" t="str">
        <v/>
      </c>
      <c r="AA2" t="str">
        <v>Estimate</v>
      </c>
      <c r="AB2" t="str">
        <v>Std. Error</v>
      </c>
      <c r="AC2" t="str">
        <v>DF</v>
      </c>
      <c r="AD2" t="str">
        <v>t</v>
      </c>
      <c r="AE2" t="str">
        <v>Pr(&gt;|t|)</v>
      </c>
      <c r="AF2" t="str">
        <v>Lower 95% CI</v>
      </c>
      <c r="AG2" t="str">
        <v>Upper 95% CI</v>
      </c>
      <c r="AJ2" t="str">
        <v/>
      </c>
      <c r="AK2" t="str">
        <v>Num DF</v>
      </c>
      <c r="AL2" t="str">
        <v>Den DF</v>
      </c>
      <c r="AM2" t="str">
        <v>F</v>
      </c>
      <c r="AN2" t="str">
        <v>Pr(&gt;F)</v>
      </c>
      <c r="AO2" t="str">
        <v>Unscaled F</v>
      </c>
      <c r="AP2" t="str">
        <v>F scaling</v>
      </c>
      <c r="AQ2" t="str">
        <v>Requested Num DF</v>
      </c>
      <c r="AR2" t="str">
        <v>Rank reduced</v>
      </c>
      <c r="AS2" t="str">
        <v>Diagnostic</v>
      </c>
    </row>
    <row r="3" spans="1:45" x14ac:dyDescent="0.3">
      <c r="A3" t="s">
        <v>14</v>
      </c>
      <c r="B3">
        <v>1</v>
      </c>
      <c r="C3" t="s">
        <v>19</v>
      </c>
      <c r="D3" t="s">
        <v>16</v>
      </c>
      <c r="E3">
        <v>2</v>
      </c>
      <c r="F3" t="s">
        <v>17</v>
      </c>
      <c r="G3">
        <v>2</v>
      </c>
      <c r="H3" t="s">
        <v>18</v>
      </c>
      <c r="I3">
        <v>1</v>
      </c>
      <c r="J3">
        <v>25.271435090000001</v>
      </c>
      <c r="K3">
        <v>39.97104977</v>
      </c>
      <c r="L3">
        <v>0.80061855400000004</v>
      </c>
      <c r="M3">
        <v>2</v>
      </c>
      <c r="N3">
        <v>0.183643324</v>
      </c>
      <c r="Z3" t="str">
        <v>Intercept</v>
      </c>
      <c r="AA3">
        <v>30.777406384543568</v>
      </c>
      <c r="AB3">
        <v>0.8918295997643082</v>
      </c>
      <c r="AC3">
        <v>218.80542875743834</v>
      </c>
      <c r="AD3">
        <v>34.510411397734934</v>
      </c>
      <c r="AE3">
        <v>0</v>
      </c>
      <c r="AF3">
        <v>29.019730546707471</v>
      </c>
      <c r="AG3">
        <v>32.535082222379664</v>
      </c>
      <c r="AJ3" t="str">
        <v>RACEN</v>
      </c>
      <c r="AK3">
        <v>2</v>
      </c>
      <c r="AL3">
        <v>165.61987319605575</v>
      </c>
      <c r="AM3">
        <v>35.996885637344811</v>
      </c>
      <c r="AN3">
        <v>1.0447198661722723E-13</v>
      </c>
      <c r="AO3">
        <v>35.997550626888071</v>
      </c>
      <c r="AP3">
        <v>0.99998152681136143</v>
      </c>
      <c r="AQ3">
        <v>2</v>
      </c>
      <c r="AR3" t="str">
        <v>No</v>
      </c>
      <c r="AS3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4" spans="1:45" x14ac:dyDescent="0.3">
      <c r="A4" t="s">
        <v>14</v>
      </c>
      <c r="B4">
        <v>1</v>
      </c>
      <c r="C4" t="s">
        <v>20</v>
      </c>
      <c r="D4" t="s">
        <v>16</v>
      </c>
      <c r="E4">
        <v>2</v>
      </c>
      <c r="F4" t="s">
        <v>17</v>
      </c>
      <c r="G4">
        <v>2</v>
      </c>
      <c r="H4" t="s">
        <v>18</v>
      </c>
      <c r="I4">
        <v>1</v>
      </c>
      <c r="J4">
        <v>25.271435090000001</v>
      </c>
      <c r="L4">
        <v>0.70878586300000002</v>
      </c>
      <c r="M4">
        <v>3</v>
      </c>
      <c r="N4">
        <v>-0.83562861200000005</v>
      </c>
      <c r="Z4" t="str">
        <v>RACEN[2]</v>
      </c>
      <c r="AA4">
        <v>1.5305948060587151</v>
      </c>
      <c r="AB4">
        <v>0.63299681458568058</v>
      </c>
      <c r="AC4">
        <v>168.71233533033276</v>
      </c>
      <c r="AD4">
        <v>2.4180134414429006</v>
      </c>
      <c r="AE4">
        <v>1.666990016341785E-2</v>
      </c>
      <c r="AF4">
        <v>0.28098014573834007</v>
      </c>
      <c r="AG4">
        <v>2.7802094663790902</v>
      </c>
      <c r="AJ4" t="str">
        <v>SEXN</v>
      </c>
      <c r="AK4">
        <v>1</v>
      </c>
      <c r="AL4">
        <v>166.1790056974788</v>
      </c>
      <c r="AM4">
        <v>0.36585051735078722</v>
      </c>
      <c r="AN4">
        <v>0.54609984748821672</v>
      </c>
      <c r="AO4">
        <v>0.36585051735078722</v>
      </c>
      <c r="AP4">
        <v>1</v>
      </c>
      <c r="AQ4">
        <v>1</v>
      </c>
      <c r="AR4" t="str">
        <v>No</v>
      </c>
      <c r="AS4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5" spans="1:45" x14ac:dyDescent="0.3">
      <c r="A5" t="s">
        <v>14</v>
      </c>
      <c r="B5">
        <v>1</v>
      </c>
      <c r="C5" t="s">
        <v>21</v>
      </c>
      <c r="D5" t="s">
        <v>16</v>
      </c>
      <c r="E5">
        <v>2</v>
      </c>
      <c r="F5" t="s">
        <v>17</v>
      </c>
      <c r="G5">
        <v>2</v>
      </c>
      <c r="H5" t="s">
        <v>18</v>
      </c>
      <c r="I5">
        <v>1</v>
      </c>
      <c r="J5">
        <v>25.271435090000001</v>
      </c>
      <c r="K5">
        <v>20.483789999999999</v>
      </c>
      <c r="L5">
        <v>0.808899653</v>
      </c>
      <c r="M5">
        <v>4</v>
      </c>
      <c r="N5">
        <v>1.595280802</v>
      </c>
      <c r="Q5" t="s">
        <v>225</v>
      </c>
      <c r="Z5" t="str">
        <v>RACEN[3]</v>
      </c>
      <c r="AA5">
        <v>5.64356792217544</v>
      </c>
      <c r="AB5">
        <v>0.67406756295553893</v>
      </c>
      <c r="AC5">
        <v>157.18225443649047</v>
      </c>
      <c r="AD5">
        <v>8.3724069104148331</v>
      </c>
      <c r="AE5">
        <v>2.9309887850104133E-14</v>
      </c>
      <c r="AF5">
        <v>4.3121689668957313</v>
      </c>
      <c r="AG5">
        <v>6.9749668774551488</v>
      </c>
      <c r="AJ5" t="str">
        <v>ARMCDN</v>
      </c>
      <c r="AK5">
        <v>1</v>
      </c>
      <c r="AL5">
        <v>145.54846807831566</v>
      </c>
      <c r="AM5">
        <v>12.281603548463053</v>
      </c>
      <c r="AN5">
        <v>6.0820604160438663E-4</v>
      </c>
      <c r="AO5">
        <v>12.281603548463057</v>
      </c>
      <c r="AP5">
        <v>0.99999999999999978</v>
      </c>
      <c r="AQ5">
        <v>1</v>
      </c>
      <c r="AR5" t="str">
        <v>No</v>
      </c>
      <c r="AS5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6" spans="1:45" x14ac:dyDescent="0.3">
      <c r="A6" t="s">
        <v>22</v>
      </c>
      <c r="B6">
        <v>2</v>
      </c>
      <c r="C6" t="s">
        <v>15</v>
      </c>
      <c r="D6" t="s">
        <v>23</v>
      </c>
      <c r="E6">
        <v>1</v>
      </c>
      <c r="F6" t="s">
        <v>24</v>
      </c>
      <c r="G6">
        <v>1</v>
      </c>
      <c r="H6" t="s">
        <v>25</v>
      </c>
      <c r="I6">
        <v>0</v>
      </c>
      <c r="J6">
        <v>45.02477098</v>
      </c>
      <c r="L6">
        <v>0.46518476800000003</v>
      </c>
      <c r="M6">
        <v>1</v>
      </c>
      <c r="N6">
        <v>0.32950777199999998</v>
      </c>
      <c r="Q6" t="b" cm="1">
        <f t="array" ref="Q6">_xll.BESH.REGR.FORMULA_VALIDATE(Q5,E2:M801,E1:M1,"absolute")</f>
        <v>1</v>
      </c>
      <c r="Z6" t="str">
        <v>SEXN[1]</v>
      </c>
      <c r="AA6">
        <v>0.32602745651072779</v>
      </c>
      <c r="AB6">
        <v>0.53901684676764272</v>
      </c>
      <c r="AC6">
        <v>166.1790056974788</v>
      </c>
      <c r="AD6">
        <v>0.60485578227440906</v>
      </c>
      <c r="AE6">
        <v>0.54609984748821305</v>
      </c>
      <c r="AF6">
        <v>-0.73817622225217683</v>
      </c>
      <c r="AG6">
        <v>1.3902311352736323</v>
      </c>
      <c r="AJ6" t="str">
        <v>VISITN</v>
      </c>
      <c r="AK6">
        <v>3</v>
      </c>
      <c r="AL6">
        <v>159.16006968073552</v>
      </c>
      <c r="AM6">
        <v>73.509679139539713</v>
      </c>
      <c r="AN6">
        <v>0</v>
      </c>
      <c r="AO6">
        <v>74.345960353189042</v>
      </c>
      <c r="AP6">
        <v>0.98875149087218084</v>
      </c>
      <c r="AQ6">
        <v>3</v>
      </c>
      <c r="AR6" t="str">
        <v>No</v>
      </c>
      <c r="AS6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7" spans="1:45" x14ac:dyDescent="0.3">
      <c r="A7" t="s">
        <v>22</v>
      </c>
      <c r="B7">
        <v>2</v>
      </c>
      <c r="C7" t="s">
        <v>19</v>
      </c>
      <c r="D7" t="s">
        <v>23</v>
      </c>
      <c r="E7">
        <v>1</v>
      </c>
      <c r="F7" t="s">
        <v>24</v>
      </c>
      <c r="G7">
        <v>1</v>
      </c>
      <c r="H7" t="s">
        <v>25</v>
      </c>
      <c r="I7">
        <v>0</v>
      </c>
      <c r="J7">
        <v>45.02477098</v>
      </c>
      <c r="K7">
        <v>31.455218859999999</v>
      </c>
      <c r="L7">
        <v>0.233097428</v>
      </c>
      <c r="M7">
        <v>2</v>
      </c>
      <c r="N7">
        <v>-0.820468384</v>
      </c>
      <c r="Z7" t="str">
        <v>ARMCDN[2]</v>
      </c>
      <c r="AA7">
        <v>3.7744146170688868</v>
      </c>
      <c r="AB7">
        <v>1.0770157846471977</v>
      </c>
      <c r="AC7">
        <v>145.54846807831566</v>
      </c>
      <c r="AD7">
        <v>3.5045118844802134</v>
      </c>
      <c r="AE7">
        <v>6.0820604160438663E-4</v>
      </c>
      <c r="AF7">
        <v>1.6458039673265619</v>
      </c>
      <c r="AG7">
        <v>5.9030252668112118</v>
      </c>
      <c r="AJ7" t="str">
        <v>A:D</v>
      </c>
      <c r="AK7">
        <v>3</v>
      </c>
      <c r="AL7">
        <v>152.59666840341677</v>
      </c>
      <c r="AM7">
        <v>0.25895907808530605</v>
      </c>
      <c r="AN7">
        <v>0.85485573492490396</v>
      </c>
      <c r="AO7">
        <v>0.26209601181206954</v>
      </c>
      <c r="AP7">
        <v>0.98803135650529172</v>
      </c>
      <c r="AQ7">
        <v>3</v>
      </c>
      <c r="AR7" t="str">
        <v>No</v>
      </c>
      <c r="AS7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8" spans="1:45" x14ac:dyDescent="0.3">
      <c r="A8" t="s">
        <v>22</v>
      </c>
      <c r="B8">
        <v>2</v>
      </c>
      <c r="C8" t="s">
        <v>20</v>
      </c>
      <c r="D8" t="s">
        <v>23</v>
      </c>
      <c r="E8">
        <v>1</v>
      </c>
      <c r="F8" t="s">
        <v>24</v>
      </c>
      <c r="G8">
        <v>1</v>
      </c>
      <c r="H8" t="s">
        <v>25</v>
      </c>
      <c r="I8">
        <v>0</v>
      </c>
      <c r="J8">
        <v>45.02477098</v>
      </c>
      <c r="K8">
        <v>36.87889346</v>
      </c>
      <c r="L8">
        <v>0.36007630899999998</v>
      </c>
      <c r="M8">
        <v>3</v>
      </c>
      <c r="N8">
        <v>0.48742905199999997</v>
      </c>
      <c r="Q8" t="s">
        <v>226</v>
      </c>
      <c r="R8" t="s">
        <v>11</v>
      </c>
      <c r="S8" t="s">
        <v>227</v>
      </c>
      <c r="T8" t="s">
        <v>228</v>
      </c>
      <c r="U8" t="s">
        <v>229</v>
      </c>
      <c r="V8" t="s">
        <v>230</v>
      </c>
      <c r="W8" t="s">
        <v>231</v>
      </c>
      <c r="Z8" t="str">
        <v>VISITN[2]</v>
      </c>
      <c r="AA8">
        <v>4.8396040221830541</v>
      </c>
      <c r="AB8">
        <v>0.80410227997940653</v>
      </c>
      <c r="AC8">
        <v>143.87357568185934</v>
      </c>
      <c r="AD8">
        <v>6.0186423327975129</v>
      </c>
      <c r="AE8">
        <v>1.3917250019090943E-8</v>
      </c>
      <c r="AF8">
        <v>3.2502236706728338</v>
      </c>
      <c r="AG8">
        <v>6.4289843736932744</v>
      </c>
      <c r="AJ8" t="str">
        <v>Uses KR-adjusted Var(beta) with R mmrm-style F scaling lambda and denominator DF when available.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</row>
    <row r="9" spans="1:45" x14ac:dyDescent="0.3">
      <c r="A9" t="s">
        <v>22</v>
      </c>
      <c r="B9">
        <v>2</v>
      </c>
      <c r="C9" t="s">
        <v>21</v>
      </c>
      <c r="D9" t="s">
        <v>23</v>
      </c>
      <c r="E9">
        <v>1</v>
      </c>
      <c r="F9" t="s">
        <v>24</v>
      </c>
      <c r="G9">
        <v>1</v>
      </c>
      <c r="H9" t="s">
        <v>25</v>
      </c>
      <c r="I9">
        <v>0</v>
      </c>
      <c r="J9">
        <v>45.02477098</v>
      </c>
      <c r="K9">
        <v>48.808094650000001</v>
      </c>
      <c r="L9">
        <v>0.50737946899999997</v>
      </c>
      <c r="M9">
        <v>4</v>
      </c>
      <c r="N9">
        <v>0.73832470500000003</v>
      </c>
      <c r="Q9" t="s">
        <v>232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Z9" t="str">
        <v>VISITN[3]</v>
      </c>
      <c r="AA9">
        <v>10.342167250213006</v>
      </c>
      <c r="AB9">
        <v>0.82328492730868763</v>
      </c>
      <c r="AC9">
        <v>155.56169859323055</v>
      </c>
      <c r="AD9">
        <v>12.562075300007585</v>
      </c>
      <c r="AE9">
        <v>0</v>
      </c>
      <c r="AF9">
        <v>8.7159070000357932</v>
      </c>
      <c r="AG9">
        <v>11.968427500390218</v>
      </c>
      <c r="AJ9" t="str">
        <v>KR parameter scale: MmrmTheta.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</row>
    <row r="10" spans="1:45" x14ac:dyDescent="0.3">
      <c r="A10" t="s">
        <v>26</v>
      </c>
      <c r="B10">
        <v>3</v>
      </c>
      <c r="C10" t="s">
        <v>15</v>
      </c>
      <c r="D10" t="s">
        <v>23</v>
      </c>
      <c r="E10">
        <v>1</v>
      </c>
      <c r="F10" t="s">
        <v>17</v>
      </c>
      <c r="G10">
        <v>2</v>
      </c>
      <c r="H10" t="s">
        <v>18</v>
      </c>
      <c r="I10">
        <v>1</v>
      </c>
      <c r="J10">
        <v>43.500696820000002</v>
      </c>
      <c r="L10">
        <v>0.68216420300000002</v>
      </c>
      <c r="M10">
        <v>1</v>
      </c>
      <c r="N10">
        <v>0.57578135200000002</v>
      </c>
      <c r="Q10" t="s">
        <v>232</v>
      </c>
      <c r="R10">
        <v>-1</v>
      </c>
      <c r="S10">
        <v>1</v>
      </c>
      <c r="T10">
        <v>0</v>
      </c>
      <c r="U10">
        <v>0</v>
      </c>
      <c r="V10">
        <v>0</v>
      </c>
      <c r="W10">
        <v>0</v>
      </c>
      <c r="Z10" t="str">
        <v>VISITN[4]</v>
      </c>
      <c r="AA10">
        <v>15.053786012652843</v>
      </c>
      <c r="AB10">
        <v>1.3018283282074008</v>
      </c>
      <c r="AC10">
        <v>138.51419874466913</v>
      </c>
      <c r="AD10">
        <v>11.563572313241711</v>
      </c>
      <c r="AE10">
        <v>0</v>
      </c>
      <c r="AF10">
        <v>12.47976076817581</v>
      </c>
      <c r="AG10">
        <v>17.627811257129878</v>
      </c>
    </row>
    <row r="11" spans="1:45" x14ac:dyDescent="0.3">
      <c r="A11" t="s">
        <v>26</v>
      </c>
      <c r="B11">
        <v>3</v>
      </c>
      <c r="C11" t="s">
        <v>19</v>
      </c>
      <c r="D11" t="s">
        <v>23</v>
      </c>
      <c r="E11">
        <v>1</v>
      </c>
      <c r="F11" t="s">
        <v>17</v>
      </c>
      <c r="G11">
        <v>2</v>
      </c>
      <c r="H11" t="s">
        <v>18</v>
      </c>
      <c r="I11">
        <v>1</v>
      </c>
      <c r="J11">
        <v>43.500696820000002</v>
      </c>
      <c r="K11">
        <v>35.986991639999999</v>
      </c>
      <c r="L11">
        <v>0.89178955000000004</v>
      </c>
      <c r="M11">
        <v>2</v>
      </c>
      <c r="N11">
        <v>-0.30538838699999998</v>
      </c>
      <c r="Q11" t="s">
        <v>233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Z11" t="str">
        <v>A[2]:D[2]</v>
      </c>
      <c r="AA11">
        <v>-4.2090765876492887E-2</v>
      </c>
      <c r="AB11">
        <v>1.1317277387521323</v>
      </c>
      <c r="AC11">
        <v>138.56218377214455</v>
      </c>
      <c r="AD11">
        <v>-3.7191600448799711E-2</v>
      </c>
      <c r="AE11">
        <v>0.97038576425770162</v>
      </c>
      <c r="AF11">
        <v>-2.2797797271899127</v>
      </c>
      <c r="AG11">
        <v>2.195598195436927</v>
      </c>
    </row>
    <row r="12" spans="1:45" x14ac:dyDescent="0.3">
      <c r="A12" t="s">
        <v>26</v>
      </c>
      <c r="B12">
        <v>3</v>
      </c>
      <c r="C12" t="s">
        <v>20</v>
      </c>
      <c r="D12" t="s">
        <v>23</v>
      </c>
      <c r="E12">
        <v>1</v>
      </c>
      <c r="F12" t="s">
        <v>17</v>
      </c>
      <c r="G12">
        <v>2</v>
      </c>
      <c r="H12" t="s">
        <v>18</v>
      </c>
      <c r="I12">
        <v>1</v>
      </c>
      <c r="J12">
        <v>43.500696820000002</v>
      </c>
      <c r="L12">
        <v>0.127628348</v>
      </c>
      <c r="M12">
        <v>3</v>
      </c>
      <c r="N12">
        <v>1.511781168</v>
      </c>
      <c r="Q12" t="s">
        <v>233</v>
      </c>
      <c r="R12">
        <v>-1</v>
      </c>
      <c r="S12">
        <v>1</v>
      </c>
      <c r="T12">
        <v>0</v>
      </c>
      <c r="U12">
        <v>1</v>
      </c>
      <c r="V12">
        <v>0</v>
      </c>
      <c r="W12">
        <v>0</v>
      </c>
      <c r="Z12" t="str">
        <v>A[2]:D[3]</v>
      </c>
      <c r="AA12">
        <v>-0.69380747873647497</v>
      </c>
      <c r="AB12">
        <v>1.1882733468466316</v>
      </c>
      <c r="AC12">
        <v>158.17010567048126</v>
      </c>
      <c r="AD12">
        <v>-0.58387868462896997</v>
      </c>
      <c r="AE12">
        <v>0.56013367531454938</v>
      </c>
      <c r="AF12">
        <v>-3.0407372675114952</v>
      </c>
      <c r="AG12">
        <v>1.6531223100385453</v>
      </c>
    </row>
    <row r="13" spans="1:45" x14ac:dyDescent="0.3">
      <c r="A13" t="s">
        <v>26</v>
      </c>
      <c r="B13">
        <v>3</v>
      </c>
      <c r="C13" t="s">
        <v>21</v>
      </c>
      <c r="D13" t="s">
        <v>23</v>
      </c>
      <c r="E13">
        <v>1</v>
      </c>
      <c r="F13" t="s">
        <v>17</v>
      </c>
      <c r="G13">
        <v>2</v>
      </c>
      <c r="H13" t="s">
        <v>18</v>
      </c>
      <c r="I13">
        <v>1</v>
      </c>
      <c r="J13">
        <v>43.500696820000002</v>
      </c>
      <c r="K13">
        <v>37.16443872</v>
      </c>
      <c r="L13">
        <v>0.22189879200000001</v>
      </c>
      <c r="M13">
        <v>4</v>
      </c>
      <c r="N13">
        <v>0.38984323599999998</v>
      </c>
      <c r="Q13" t="s">
        <v>234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Z13" t="str">
        <v>A[2]:D[4]</v>
      </c>
      <c r="AA13">
        <v>0.62412198026993493</v>
      </c>
      <c r="AB13">
        <v>1.8333757047360864</v>
      </c>
      <c r="AC13">
        <v>129.76784830912433</v>
      </c>
      <c r="AD13">
        <v>0.34042230332695339</v>
      </c>
      <c r="AE13">
        <v>0.73408898315989157</v>
      </c>
      <c r="AF13">
        <v>-3.0030535496750437</v>
      </c>
      <c r="AG13">
        <v>4.251297510214914</v>
      </c>
    </row>
    <row r="14" spans="1:45" x14ac:dyDescent="0.3">
      <c r="A14" t="s">
        <v>27</v>
      </c>
      <c r="B14">
        <v>4</v>
      </c>
      <c r="C14" t="s">
        <v>15</v>
      </c>
      <c r="D14" t="s">
        <v>16</v>
      </c>
      <c r="E14">
        <v>2</v>
      </c>
      <c r="F14" t="s">
        <v>24</v>
      </c>
      <c r="G14">
        <v>1</v>
      </c>
      <c r="H14" t="s">
        <v>18</v>
      </c>
      <c r="I14">
        <v>1</v>
      </c>
      <c r="J14">
        <v>31.603183399999999</v>
      </c>
      <c r="K14">
        <v>33.892291440000001</v>
      </c>
      <c r="L14">
        <v>0.68854796200000001</v>
      </c>
      <c r="M14">
        <v>1</v>
      </c>
      <c r="N14">
        <v>-0.62124058100000001</v>
      </c>
      <c r="Q14" t="s">
        <v>234</v>
      </c>
      <c r="R14">
        <v>-1</v>
      </c>
      <c r="S14">
        <v>1</v>
      </c>
      <c r="T14">
        <v>0</v>
      </c>
      <c r="U14">
        <v>0</v>
      </c>
      <c r="V14">
        <v>1</v>
      </c>
      <c r="W14">
        <v>0</v>
      </c>
      <c r="Z14" t="str">
        <v>Inference uses Kenward-Roger adjusted coefficient covariance and denominator degrees of freedom for fixed-effect coefficient tests.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 spans="1:45" x14ac:dyDescent="0.3">
      <c r="A15" t="s">
        <v>27</v>
      </c>
      <c r="B15">
        <v>4</v>
      </c>
      <c r="C15" t="s">
        <v>19</v>
      </c>
      <c r="D15" t="s">
        <v>16</v>
      </c>
      <c r="E15">
        <v>2</v>
      </c>
      <c r="F15" t="s">
        <v>24</v>
      </c>
      <c r="G15">
        <v>1</v>
      </c>
      <c r="H15" t="s">
        <v>18</v>
      </c>
      <c r="I15">
        <v>1</v>
      </c>
      <c r="J15">
        <v>31.603183399999999</v>
      </c>
      <c r="K15">
        <v>33.746374760000002</v>
      </c>
      <c r="L15">
        <v>0.100909269</v>
      </c>
      <c r="M15">
        <v>2</v>
      </c>
      <c r="N15">
        <v>-2.2146998870000001</v>
      </c>
      <c r="Q15" t="s">
        <v>235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Z15" t="str">
        <v>For REML fits, compare models with different fixed effects using ML rather than REML.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 spans="1:45" x14ac:dyDescent="0.3">
      <c r="A16" t="s">
        <v>27</v>
      </c>
      <c r="B16">
        <v>4</v>
      </c>
      <c r="C16" t="s">
        <v>20</v>
      </c>
      <c r="D16" t="s">
        <v>16</v>
      </c>
      <c r="E16">
        <v>2</v>
      </c>
      <c r="F16" t="s">
        <v>24</v>
      </c>
      <c r="G16">
        <v>1</v>
      </c>
      <c r="H16" t="s">
        <v>18</v>
      </c>
      <c r="I16">
        <v>1</v>
      </c>
      <c r="J16">
        <v>31.603183399999999</v>
      </c>
      <c r="L16">
        <v>0.41296266799999998</v>
      </c>
      <c r="M16">
        <v>3</v>
      </c>
      <c r="N16">
        <v>1.124930918</v>
      </c>
      <c r="Q16" t="s">
        <v>235</v>
      </c>
      <c r="R16">
        <v>-1</v>
      </c>
      <c r="S16">
        <v>1</v>
      </c>
      <c r="T16">
        <v>0</v>
      </c>
      <c r="U16">
        <v>0</v>
      </c>
      <c r="V16">
        <v>0</v>
      </c>
      <c r="W16">
        <v>0</v>
      </c>
    </row>
    <row r="17" spans="1:38" x14ac:dyDescent="0.3">
      <c r="A17" t="s">
        <v>27</v>
      </c>
      <c r="B17">
        <v>4</v>
      </c>
      <c r="C17" t="s">
        <v>21</v>
      </c>
      <c r="D17" t="s">
        <v>16</v>
      </c>
      <c r="E17">
        <v>2</v>
      </c>
      <c r="F17" t="s">
        <v>24</v>
      </c>
      <c r="G17">
        <v>1</v>
      </c>
      <c r="H17" t="s">
        <v>18</v>
      </c>
      <c r="I17">
        <v>1</v>
      </c>
      <c r="J17">
        <v>31.603183399999999</v>
      </c>
      <c r="K17">
        <v>54.450547530000001</v>
      </c>
      <c r="L17">
        <v>0.46999572299999998</v>
      </c>
      <c r="M17">
        <v>4</v>
      </c>
      <c r="N17">
        <v>-4.4933608999999999E-2</v>
      </c>
      <c r="Y17" s="2" t="s">
        <v>239</v>
      </c>
      <c r="Z17" t="str" cm="1">
        <f t="array" ref="Z17:AA39">_xll.BESH.REGR.MMRM_FITSTATS(Q1)</f>
        <v>Fit statistics</v>
      </c>
      <c r="AA17" t="str">
        <v/>
      </c>
      <c r="AB17" s="2" t="s">
        <v>240</v>
      </c>
      <c r="AC17" t="str" cm="1">
        <f t="array" ref="AC17:AL243">_xll.BESH.REGR.MMRM_RESULTS(Q1)</f>
        <v>Fixed effects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 spans="1:38" x14ac:dyDescent="0.3">
      <c r="A18" t="s">
        <v>28</v>
      </c>
      <c r="B18">
        <v>5</v>
      </c>
      <c r="C18" t="s">
        <v>15</v>
      </c>
      <c r="D18" t="s">
        <v>23</v>
      </c>
      <c r="E18">
        <v>1</v>
      </c>
      <c r="F18" t="s">
        <v>17</v>
      </c>
      <c r="G18">
        <v>2</v>
      </c>
      <c r="H18" t="s">
        <v>25</v>
      </c>
      <c r="I18">
        <v>0</v>
      </c>
      <c r="J18">
        <v>43.646909659999999</v>
      </c>
      <c r="K18">
        <v>32.313859549999997</v>
      </c>
      <c r="L18">
        <v>0.410515185</v>
      </c>
      <c r="M18">
        <v>1</v>
      </c>
      <c r="N18">
        <v>-1.6190263E-2</v>
      </c>
      <c r="P18" s="2" t="s">
        <v>237</v>
      </c>
      <c r="Q18" t="str" cm="1">
        <f t="array" ref="Q18:X25">_xll.BESH.REGR.MMRM_LSMESTIMATE(Q1,Q8:W16)</f>
        <v>MMRM custom LS-mean estimates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Z18" t="str">
        <v/>
      </c>
      <c r="AA18" t="str">
        <v>Value</v>
      </c>
      <c r="AC18" t="str">
        <v/>
      </c>
      <c r="AD18" t="str">
        <v>Estimate</v>
      </c>
      <c r="AE18" t="str">
        <v>Std. Error</v>
      </c>
      <c r="AF18" t="str">
        <v>DF</v>
      </c>
      <c r="AG18" t="str">
        <v>t</v>
      </c>
      <c r="AH18" t="str">
        <v>Pr(&gt;|t|)</v>
      </c>
      <c r="AI18" t="str">
        <v>Lower 95% CI</v>
      </c>
      <c r="AJ18" t="str">
        <v>Upper 95% CI</v>
      </c>
      <c r="AK18" t="str">
        <v/>
      </c>
      <c r="AL18" t="str">
        <v/>
      </c>
    </row>
    <row r="19" spans="1:38" x14ac:dyDescent="0.3">
      <c r="A19" t="s">
        <v>28</v>
      </c>
      <c r="B19">
        <v>5</v>
      </c>
      <c r="C19" t="s">
        <v>19</v>
      </c>
      <c r="D19" t="s">
        <v>23</v>
      </c>
      <c r="E19">
        <v>1</v>
      </c>
      <c r="F19" t="s">
        <v>17</v>
      </c>
      <c r="G19">
        <v>2</v>
      </c>
      <c r="H19" t="s">
        <v>25</v>
      </c>
      <c r="I19">
        <v>0</v>
      </c>
      <c r="J19">
        <v>43.646909659999999</v>
      </c>
      <c r="L19">
        <v>0.421988113</v>
      </c>
      <c r="M19">
        <v>2</v>
      </c>
      <c r="N19">
        <v>0.94383621100000004</v>
      </c>
      <c r="Q19" t="str">
        <v/>
      </c>
      <c r="R19" t="str">
        <v>Estimate</v>
      </c>
      <c r="S19" t="str">
        <v>Std. Error</v>
      </c>
      <c r="T19" t="str">
        <v>DF</v>
      </c>
      <c r="U19" t="str">
        <v>t</v>
      </c>
      <c r="V19" t="str">
        <v>Pr(&gt;|t|)</v>
      </c>
      <c r="W19" t="str">
        <v>Lower 95% CI</v>
      </c>
      <c r="X19" t="str">
        <v>Upper 95% CI</v>
      </c>
      <c r="Z19" t="str">
        <v>Fit method</v>
      </c>
      <c r="AA19" t="str">
        <v>REML</v>
      </c>
      <c r="AC19" t="str">
        <v>Intercept</v>
      </c>
      <c r="AD19">
        <v>30.777406384543568</v>
      </c>
      <c r="AE19">
        <v>0.8918295997643082</v>
      </c>
      <c r="AF19">
        <v>218.80542875743834</v>
      </c>
      <c r="AG19">
        <v>34.510411397734934</v>
      </c>
      <c r="AH19">
        <v>0</v>
      </c>
      <c r="AI19">
        <v>29.019730546707471</v>
      </c>
      <c r="AJ19">
        <v>32.535082222379664</v>
      </c>
      <c r="AK19" t="str">
        <v/>
      </c>
      <c r="AL19" t="str">
        <v/>
      </c>
    </row>
    <row r="20" spans="1:38" x14ac:dyDescent="0.3">
      <c r="A20" t="s">
        <v>28</v>
      </c>
      <c r="B20">
        <v>5</v>
      </c>
      <c r="C20" t="s">
        <v>20</v>
      </c>
      <c r="D20" t="s">
        <v>23</v>
      </c>
      <c r="E20">
        <v>1</v>
      </c>
      <c r="F20" t="s">
        <v>17</v>
      </c>
      <c r="G20">
        <v>2</v>
      </c>
      <c r="H20" t="s">
        <v>25</v>
      </c>
      <c r="I20">
        <v>0</v>
      </c>
      <c r="J20">
        <v>43.646909659999999</v>
      </c>
      <c r="K20">
        <v>46.793614060000003</v>
      </c>
      <c r="L20">
        <v>0.24317086800000001</v>
      </c>
      <c r="M20">
        <v>3</v>
      </c>
      <c r="N20">
        <v>0.82122119500000001</v>
      </c>
      <c r="Q20" t="str">
        <v>PBO Female vs TRT Males At Vis1</v>
      </c>
      <c r="R20">
        <v>-4.1874889039189807</v>
      </c>
      <c r="S20">
        <v>1.1979608946313556</v>
      </c>
      <c r="T20">
        <v>188.11144415574523</v>
      </c>
      <c r="U20">
        <v>-3.4955138541542978</v>
      </c>
      <c r="V20">
        <v>5.9010940525405786E-4</v>
      </c>
      <c r="W20">
        <v>-6.5506525980201555</v>
      </c>
      <c r="X20">
        <v>-1.8243252098178053</v>
      </c>
      <c r="Z20" t="str">
        <v>N observations</v>
      </c>
      <c r="AA20">
        <v>537</v>
      </c>
      <c r="AC20" t="str">
        <v>RACEN[2]</v>
      </c>
      <c r="AD20">
        <v>1.5305948060587151</v>
      </c>
      <c r="AE20">
        <v>0.63299681458568058</v>
      </c>
      <c r="AF20">
        <v>168.71233533033276</v>
      </c>
      <c r="AG20">
        <v>2.4180134414429006</v>
      </c>
      <c r="AH20">
        <v>1.666990016341785E-2</v>
      </c>
      <c r="AI20">
        <v>0.28098014573834007</v>
      </c>
      <c r="AJ20">
        <v>2.7802094663790902</v>
      </c>
      <c r="AK20" t="str">
        <v/>
      </c>
      <c r="AL20" t="str">
        <v/>
      </c>
    </row>
    <row r="21" spans="1:38" x14ac:dyDescent="0.3">
      <c r="A21" t="s">
        <v>28</v>
      </c>
      <c r="B21">
        <v>5</v>
      </c>
      <c r="C21" t="s">
        <v>21</v>
      </c>
      <c r="D21" t="s">
        <v>23</v>
      </c>
      <c r="E21">
        <v>1</v>
      </c>
      <c r="F21" t="s">
        <v>17</v>
      </c>
      <c r="G21">
        <v>2</v>
      </c>
      <c r="H21" t="s">
        <v>25</v>
      </c>
      <c r="I21">
        <v>0</v>
      </c>
      <c r="J21">
        <v>43.646909659999999</v>
      </c>
      <c r="K21">
        <v>41.711537610000001</v>
      </c>
      <c r="L21">
        <v>0.86132700299999998</v>
      </c>
      <c r="M21">
        <v>4</v>
      </c>
      <c r="N21">
        <v>0.59390132100000004</v>
      </c>
      <c r="Q21" t="str">
        <v>PBO Female vs TRT Males At Vis2</v>
      </c>
      <c r="R21">
        <v>-4.0923615012938628</v>
      </c>
      <c r="S21">
        <v>1.0241427416113325</v>
      </c>
      <c r="T21">
        <v>207.66506352143696</v>
      </c>
      <c r="U21">
        <v>-3.9958897671384714</v>
      </c>
      <c r="V21">
        <v>8.9497046402264857E-5</v>
      </c>
      <c r="W21">
        <v>-6.1114110536074744</v>
      </c>
      <c r="X21">
        <v>-2.0733119489802516</v>
      </c>
      <c r="Z21" t="str">
        <v>Subjects</v>
      </c>
      <c r="AA21">
        <v>197</v>
      </c>
      <c r="AC21" t="str">
        <v>RACEN[3]</v>
      </c>
      <c r="AD21">
        <v>5.64356792217544</v>
      </c>
      <c r="AE21">
        <v>0.67406756295553893</v>
      </c>
      <c r="AF21">
        <v>157.18225443649047</v>
      </c>
      <c r="AG21">
        <v>8.3724069104148331</v>
      </c>
      <c r="AH21">
        <v>2.9309887850104133E-14</v>
      </c>
      <c r="AI21">
        <v>4.3121689668957313</v>
      </c>
      <c r="AJ21">
        <v>6.9749668774551488</v>
      </c>
      <c r="AK21" t="str">
        <v/>
      </c>
      <c r="AL21" t="str">
        <v/>
      </c>
    </row>
    <row r="22" spans="1:38" x14ac:dyDescent="0.3">
      <c r="A22" t="s">
        <v>29</v>
      </c>
      <c r="B22">
        <v>6</v>
      </c>
      <c r="C22" t="s">
        <v>15</v>
      </c>
      <c r="D22" t="s">
        <v>23</v>
      </c>
      <c r="E22">
        <v>1</v>
      </c>
      <c r="F22" t="s">
        <v>17</v>
      </c>
      <c r="G22">
        <v>2</v>
      </c>
      <c r="H22" t="s">
        <v>25</v>
      </c>
      <c r="I22">
        <v>0</v>
      </c>
      <c r="J22">
        <v>21.594722050000001</v>
      </c>
      <c r="L22">
        <v>0.46298245900000001</v>
      </c>
      <c r="M22">
        <v>1</v>
      </c>
      <c r="N22">
        <v>0.91897737199999996</v>
      </c>
      <c r="Q22" t="str">
        <v>PBO Female vs TRT Males At Vis3</v>
      </c>
      <c r="R22">
        <v>-3.3541323892448283</v>
      </c>
      <c r="S22">
        <v>0.89265941992500342</v>
      </c>
      <c r="T22">
        <v>174.71904779294081</v>
      </c>
      <c r="U22">
        <v>-3.7574603643645244</v>
      </c>
      <c r="V22">
        <v>2.3371840256447562E-4</v>
      </c>
      <c r="W22">
        <v>-5.1159158698268996</v>
      </c>
      <c r="X22">
        <v>-1.5923489086627569</v>
      </c>
      <c r="Z22" t="str">
        <v>Execution time</v>
      </c>
      <c r="AA22" t="str">
        <v>0.956 s</v>
      </c>
      <c r="AC22" t="str">
        <v>SEXN[1]</v>
      </c>
      <c r="AD22">
        <v>0.32602745651072779</v>
      </c>
      <c r="AE22">
        <v>0.53901684676764272</v>
      </c>
      <c r="AF22">
        <v>166.1790056974788</v>
      </c>
      <c r="AG22">
        <v>0.60485578227440906</v>
      </c>
      <c r="AH22">
        <v>0.54609984748821305</v>
      </c>
      <c r="AI22">
        <v>-0.73817622225217683</v>
      </c>
      <c r="AJ22">
        <v>1.3902311352736323</v>
      </c>
      <c r="AK22" t="str">
        <v/>
      </c>
      <c r="AL22" t="str">
        <v/>
      </c>
    </row>
    <row r="23" spans="1:38" x14ac:dyDescent="0.3">
      <c r="A23" t="s">
        <v>29</v>
      </c>
      <c r="B23">
        <v>6</v>
      </c>
      <c r="C23" t="s">
        <v>19</v>
      </c>
      <c r="D23" t="s">
        <v>23</v>
      </c>
      <c r="E23">
        <v>1</v>
      </c>
      <c r="F23" t="s">
        <v>17</v>
      </c>
      <c r="G23">
        <v>2</v>
      </c>
      <c r="H23" t="s">
        <v>25</v>
      </c>
      <c r="I23">
        <v>0</v>
      </c>
      <c r="J23">
        <v>21.594722050000001</v>
      </c>
      <c r="L23">
        <v>0.36140192700000001</v>
      </c>
      <c r="M23">
        <v>2</v>
      </c>
      <c r="N23">
        <v>0.78213630099999998</v>
      </c>
      <c r="Q23" t="str">
        <v>PBO Female vs TRT Males At Vis4</v>
      </c>
      <c r="R23">
        <v>-4.1874889039189807</v>
      </c>
      <c r="S23">
        <v>1.1979608946313556</v>
      </c>
      <c r="T23">
        <v>188.11144415574523</v>
      </c>
      <c r="U23">
        <v>-3.4955138541542978</v>
      </c>
      <c r="V23">
        <v>5.9010940525405786E-4</v>
      </c>
      <c r="W23">
        <v>-6.5506525980201555</v>
      </c>
      <c r="X23">
        <v>-1.8243252098178053</v>
      </c>
      <c r="Z23" t="str">
        <v>Fixed-effect parameters</v>
      </c>
      <c r="AA23">
        <v>11</v>
      </c>
      <c r="AC23" t="str">
        <v>ARMCDN[2]</v>
      </c>
      <c r="AD23">
        <v>3.7744146170688868</v>
      </c>
      <c r="AE23">
        <v>1.0770157846471977</v>
      </c>
      <c r="AF23">
        <v>145.54846807831566</v>
      </c>
      <c r="AG23">
        <v>3.5045118844802134</v>
      </c>
      <c r="AH23">
        <v>6.0820604160438663E-4</v>
      </c>
      <c r="AI23">
        <v>1.6458039673265619</v>
      </c>
      <c r="AJ23">
        <v>5.9030252668112118</v>
      </c>
      <c r="AK23" t="str">
        <v/>
      </c>
      <c r="AL23" t="str">
        <v/>
      </c>
    </row>
    <row r="24" spans="1:38" x14ac:dyDescent="0.3">
      <c r="A24" t="s">
        <v>29</v>
      </c>
      <c r="B24">
        <v>6</v>
      </c>
      <c r="C24" t="s">
        <v>20</v>
      </c>
      <c r="D24" t="s">
        <v>23</v>
      </c>
      <c r="E24">
        <v>1</v>
      </c>
      <c r="F24" t="s">
        <v>17</v>
      </c>
      <c r="G24">
        <v>2</v>
      </c>
      <c r="H24" t="s">
        <v>25</v>
      </c>
      <c r="I24">
        <v>0</v>
      </c>
      <c r="J24">
        <v>21.594722050000001</v>
      </c>
      <c r="K24">
        <v>39.024226210000002</v>
      </c>
      <c r="L24">
        <v>0.872332259</v>
      </c>
      <c r="M24">
        <v>3</v>
      </c>
      <c r="N24">
        <v>7.4564983000000001E-2</v>
      </c>
      <c r="Q24" t="str">
        <v>Custom LS-mean estimates are computed as sum(weight * L(profile))*beta. L(profile) is the observed-design-grid average fixed-effect row among observations matching each profile row in the spec range after applying any AT settings.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Z24" t="str">
        <v>Random-effect columns</v>
      </c>
      <c r="AA24">
        <v>0</v>
      </c>
      <c r="AC24" t="str">
        <v>VISITN[2]</v>
      </c>
      <c r="AD24">
        <v>4.8396040221830541</v>
      </c>
      <c r="AE24">
        <v>0.80410227997940653</v>
      </c>
      <c r="AF24">
        <v>143.87357568185934</v>
      </c>
      <c r="AG24">
        <v>6.0186423327975129</v>
      </c>
      <c r="AH24">
        <v>1.3917250019090943E-8</v>
      </c>
      <c r="AI24">
        <v>3.2502236706728338</v>
      </c>
      <c r="AJ24">
        <v>6.4289843736932744</v>
      </c>
      <c r="AK24" t="str">
        <v/>
      </c>
      <c r="AL24" t="str">
        <v/>
      </c>
    </row>
    <row r="25" spans="1:38" x14ac:dyDescent="0.3">
      <c r="A25" t="s">
        <v>29</v>
      </c>
      <c r="B25">
        <v>6</v>
      </c>
      <c r="C25" t="s">
        <v>21</v>
      </c>
      <c r="D25" t="s">
        <v>23</v>
      </c>
      <c r="E25">
        <v>1</v>
      </c>
      <c r="F25" t="s">
        <v>17</v>
      </c>
      <c r="G25">
        <v>2</v>
      </c>
      <c r="H25" t="s">
        <v>25</v>
      </c>
      <c r="I25">
        <v>0</v>
      </c>
      <c r="J25">
        <v>21.594722050000001</v>
      </c>
      <c r="L25">
        <v>0.66598550199999995</v>
      </c>
      <c r="M25">
        <v>4</v>
      </c>
      <c r="N25">
        <v>-1.9893516959999999</v>
      </c>
      <c r="Q25" t="str">
        <v>Inference for these contrasts uses KR-adjusted standard errors and R mmrm-style one-dimensional Kenward-Roger denominator DF.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Z25" t="str">
        <v>Objective</v>
      </c>
      <c r="AA25">
        <v>3386.4498711866822</v>
      </c>
      <c r="AC25" t="str">
        <v>VISITN[3]</v>
      </c>
      <c r="AD25">
        <v>10.342167250213006</v>
      </c>
      <c r="AE25">
        <v>0.82328492730868763</v>
      </c>
      <c r="AF25">
        <v>155.56169859323055</v>
      </c>
      <c r="AG25">
        <v>12.562075300007585</v>
      </c>
      <c r="AH25">
        <v>0</v>
      </c>
      <c r="AI25">
        <v>8.7159070000357932</v>
      </c>
      <c r="AJ25">
        <v>11.968427500390218</v>
      </c>
      <c r="AK25" t="str">
        <v/>
      </c>
      <c r="AL25" t="str">
        <v/>
      </c>
    </row>
    <row r="26" spans="1:38" x14ac:dyDescent="0.3">
      <c r="A26" t="s">
        <v>30</v>
      </c>
      <c r="B26">
        <v>7</v>
      </c>
      <c r="C26" t="s">
        <v>15</v>
      </c>
      <c r="D26" t="s">
        <v>23</v>
      </c>
      <c r="E26">
        <v>1</v>
      </c>
      <c r="F26" t="s">
        <v>24</v>
      </c>
      <c r="G26">
        <v>1</v>
      </c>
      <c r="H26" t="s">
        <v>18</v>
      </c>
      <c r="I26">
        <v>1</v>
      </c>
      <c r="J26">
        <v>25.481653919999999</v>
      </c>
      <c r="K26">
        <v>31.930501639999999</v>
      </c>
      <c r="L26">
        <v>0.61563410900000004</v>
      </c>
      <c r="M26">
        <v>1</v>
      </c>
      <c r="N26">
        <v>0.61982574800000001</v>
      </c>
      <c r="Z26" t="str">
        <v>Log-likelihood</v>
      </c>
      <c r="AA26">
        <v>-1693.2249355933411</v>
      </c>
      <c r="AC26" t="str">
        <v>VISITN[4]</v>
      </c>
      <c r="AD26">
        <v>15.053786012652843</v>
      </c>
      <c r="AE26">
        <v>1.3018283282074008</v>
      </c>
      <c r="AF26">
        <v>138.51419874466913</v>
      </c>
      <c r="AG26">
        <v>11.563572313241711</v>
      </c>
      <c r="AH26">
        <v>0</v>
      </c>
      <c r="AI26">
        <v>12.47976076817581</v>
      </c>
      <c r="AJ26">
        <v>17.627811257129878</v>
      </c>
      <c r="AK26" t="str">
        <v/>
      </c>
      <c r="AL26" t="str">
        <v/>
      </c>
    </row>
    <row r="27" spans="1:38" x14ac:dyDescent="0.3">
      <c r="A27" t="s">
        <v>30</v>
      </c>
      <c r="B27">
        <v>7</v>
      </c>
      <c r="C27" t="s">
        <v>19</v>
      </c>
      <c r="D27" t="s">
        <v>23</v>
      </c>
      <c r="E27">
        <v>1</v>
      </c>
      <c r="F27" t="s">
        <v>24</v>
      </c>
      <c r="G27">
        <v>1</v>
      </c>
      <c r="H27" t="s">
        <v>18</v>
      </c>
      <c r="I27">
        <v>1</v>
      </c>
      <c r="J27">
        <v>25.481653919999999</v>
      </c>
      <c r="K27">
        <v>32.909471719999999</v>
      </c>
      <c r="L27">
        <v>0.41186278799999998</v>
      </c>
      <c r="M27">
        <v>2</v>
      </c>
      <c r="N27">
        <v>-5.6128740000000003E-2</v>
      </c>
      <c r="Z27" t="str">
        <v>AIC</v>
      </c>
      <c r="AA27">
        <v>3406.4498711866822</v>
      </c>
      <c r="AC27" t="str">
        <v>A[2]:D[2]</v>
      </c>
      <c r="AD27">
        <v>-4.2090765876492887E-2</v>
      </c>
      <c r="AE27">
        <v>1.1317277387521323</v>
      </c>
      <c r="AF27">
        <v>138.56218377214455</v>
      </c>
      <c r="AG27">
        <v>-3.7191600448799711E-2</v>
      </c>
      <c r="AH27">
        <v>0.97038576425770162</v>
      </c>
      <c r="AI27">
        <v>-2.2797797271899127</v>
      </c>
      <c r="AJ27">
        <v>2.195598195436927</v>
      </c>
      <c r="AK27" t="str">
        <v/>
      </c>
      <c r="AL27" t="str">
        <v/>
      </c>
    </row>
    <row r="28" spans="1:38" x14ac:dyDescent="0.3">
      <c r="A28" t="s">
        <v>30</v>
      </c>
      <c r="B28">
        <v>7</v>
      </c>
      <c r="C28" t="s">
        <v>20</v>
      </c>
      <c r="D28" t="s">
        <v>23</v>
      </c>
      <c r="E28">
        <v>1</v>
      </c>
      <c r="F28" t="s">
        <v>24</v>
      </c>
      <c r="G28">
        <v>1</v>
      </c>
      <c r="H28" t="s">
        <v>18</v>
      </c>
      <c r="I28">
        <v>1</v>
      </c>
      <c r="J28">
        <v>25.481653919999999</v>
      </c>
      <c r="L28">
        <v>0.65883491199999999</v>
      </c>
      <c r="M28">
        <v>3</v>
      </c>
      <c r="N28">
        <v>-0.155795507</v>
      </c>
      <c r="Z28" t="str">
        <v>BIC</v>
      </c>
      <c r="AA28">
        <v>3449.3098521317711</v>
      </c>
      <c r="AC28" t="str">
        <v>A[2]:D[3]</v>
      </c>
      <c r="AD28">
        <v>-0.69380747873647497</v>
      </c>
      <c r="AE28">
        <v>1.1882733468466316</v>
      </c>
      <c r="AF28">
        <v>158.17010567048126</v>
      </c>
      <c r="AG28">
        <v>-0.58387868462896997</v>
      </c>
      <c r="AH28">
        <v>0.56013367531454938</v>
      </c>
      <c r="AI28">
        <v>-3.0407372675114952</v>
      </c>
      <c r="AJ28">
        <v>1.6531223100385453</v>
      </c>
      <c r="AK28" t="str">
        <v/>
      </c>
      <c r="AL28" t="str">
        <v/>
      </c>
    </row>
    <row r="29" spans="1:38" x14ac:dyDescent="0.3">
      <c r="A29" t="s">
        <v>30</v>
      </c>
      <c r="B29">
        <v>7</v>
      </c>
      <c r="C29" t="s">
        <v>21</v>
      </c>
      <c r="D29" t="s">
        <v>23</v>
      </c>
      <c r="E29">
        <v>1</v>
      </c>
      <c r="F29" t="s">
        <v>24</v>
      </c>
      <c r="G29">
        <v>1</v>
      </c>
      <c r="H29" t="s">
        <v>18</v>
      </c>
      <c r="I29">
        <v>1</v>
      </c>
      <c r="J29">
        <v>25.481653919999999</v>
      </c>
      <c r="K29">
        <v>48.280311609999998</v>
      </c>
      <c r="L29">
        <v>0.53524629199999996</v>
      </c>
      <c r="M29">
        <v>4</v>
      </c>
      <c r="N29">
        <v>-1.4707523840000001</v>
      </c>
      <c r="Z29" t="str">
        <v>REML criterion</v>
      </c>
      <c r="AA29">
        <v>3386.4498711866822</v>
      </c>
      <c r="AC29" t="str">
        <v>A[2]:D[4]</v>
      </c>
      <c r="AD29">
        <v>0.62412198026993493</v>
      </c>
      <c r="AE29">
        <v>1.8333757047360864</v>
      </c>
      <c r="AF29">
        <v>129.76784830912433</v>
      </c>
      <c r="AG29">
        <v>0.34042230332695339</v>
      </c>
      <c r="AH29">
        <v>0.73408898315989157</v>
      </c>
      <c r="AI29">
        <v>-3.0030535496750437</v>
      </c>
      <c r="AJ29">
        <v>4.251297510214914</v>
      </c>
      <c r="AK29" t="str">
        <v/>
      </c>
      <c r="AL29" t="str">
        <v/>
      </c>
    </row>
    <row r="30" spans="1:38" x14ac:dyDescent="0.3">
      <c r="A30" t="s">
        <v>31</v>
      </c>
      <c r="B30">
        <v>8</v>
      </c>
      <c r="C30" t="s">
        <v>15</v>
      </c>
      <c r="D30" t="s">
        <v>23</v>
      </c>
      <c r="E30">
        <v>1</v>
      </c>
      <c r="F30" t="s">
        <v>17</v>
      </c>
      <c r="G30">
        <v>2</v>
      </c>
      <c r="H30" t="s">
        <v>25</v>
      </c>
      <c r="I30">
        <v>0</v>
      </c>
      <c r="J30">
        <v>47.812250570000003</v>
      </c>
      <c r="K30">
        <v>32.23021121</v>
      </c>
      <c r="L30">
        <v>0.28117374299999998</v>
      </c>
      <c r="M30">
        <v>1</v>
      </c>
      <c r="N30">
        <v>-0.47815005500000002</v>
      </c>
      <c r="Z30" t="str">
        <v>Q form</v>
      </c>
      <c r="AA30">
        <v>525.99999905575169</v>
      </c>
      <c r="AC30" t="str">
        <v>Inference uses Kenward-Roger adjusted coefficient covariance and denominator degrees of freedom for fixed-effect coefficient tests.</v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 spans="1:38" x14ac:dyDescent="0.3">
      <c r="A31" t="s">
        <v>31</v>
      </c>
      <c r="B31">
        <v>8</v>
      </c>
      <c r="C31" t="s">
        <v>19</v>
      </c>
      <c r="D31" t="s">
        <v>23</v>
      </c>
      <c r="E31">
        <v>1</v>
      </c>
      <c r="F31" t="s">
        <v>17</v>
      </c>
      <c r="G31">
        <v>2</v>
      </c>
      <c r="H31" t="s">
        <v>25</v>
      </c>
      <c r="I31">
        <v>0</v>
      </c>
      <c r="J31">
        <v>47.812250570000003</v>
      </c>
      <c r="K31">
        <v>35.910799300000001</v>
      </c>
      <c r="L31">
        <v>0.48764620400000003</v>
      </c>
      <c r="M31">
        <v>2</v>
      </c>
      <c r="N31">
        <v>0.41794155999999999</v>
      </c>
      <c r="Z31" t="str">
        <v>log|V|</v>
      </c>
      <c r="AA31">
        <v>1884.7628805155566</v>
      </c>
      <c r="AC31" t="str">
        <v>For REML fits, compare models with different fixed effects using ML rather than REML.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 spans="1:38" x14ac:dyDescent="0.3">
      <c r="A32" t="s">
        <v>31</v>
      </c>
      <c r="B32">
        <v>8</v>
      </c>
      <c r="C32" t="s">
        <v>20</v>
      </c>
      <c r="D32" t="s">
        <v>23</v>
      </c>
      <c r="E32">
        <v>1</v>
      </c>
      <c r="F32" t="s">
        <v>17</v>
      </c>
      <c r="G32">
        <v>2</v>
      </c>
      <c r="H32" t="s">
        <v>25</v>
      </c>
      <c r="I32">
        <v>0</v>
      </c>
      <c r="J32">
        <v>47.812250570000003</v>
      </c>
      <c r="K32">
        <v>45.54897596</v>
      </c>
      <c r="L32">
        <v>0.73440573600000003</v>
      </c>
      <c r="M32">
        <v>3</v>
      </c>
      <c r="N32">
        <v>1.3586795519999999</v>
      </c>
      <c r="Z32" t="str">
        <v>log|X'V^-1X|</v>
      </c>
      <c r="AA32">
        <v>8.9636546840581381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 spans="1:38" x14ac:dyDescent="0.3">
      <c r="A33" t="s">
        <v>31</v>
      </c>
      <c r="B33">
        <v>8</v>
      </c>
      <c r="C33" t="s">
        <v>21</v>
      </c>
      <c r="D33" t="s">
        <v>23</v>
      </c>
      <c r="E33">
        <v>1</v>
      </c>
      <c r="F33" t="s">
        <v>17</v>
      </c>
      <c r="G33">
        <v>2</v>
      </c>
      <c r="H33" t="s">
        <v>25</v>
      </c>
      <c r="I33">
        <v>0</v>
      </c>
      <c r="J33">
        <v>47.812250570000003</v>
      </c>
      <c r="K33">
        <v>53.028768229999997</v>
      </c>
      <c r="L33">
        <v>0.104790104</v>
      </c>
      <c r="M33">
        <v>4</v>
      </c>
      <c r="N33">
        <v>-0.102787727</v>
      </c>
      <c r="Z33" t="str">
        <v>Profile scale Q/df</v>
      </c>
      <c r="AA33">
        <v>0.99999999820485108</v>
      </c>
      <c r="AC33" t="str">
        <v>Kenward-Roger term-level F tests</v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 spans="1:38" x14ac:dyDescent="0.3">
      <c r="A34" t="s">
        <v>32</v>
      </c>
      <c r="B34">
        <v>9</v>
      </c>
      <c r="C34" t="s">
        <v>15</v>
      </c>
      <c r="D34" t="s">
        <v>16</v>
      </c>
      <c r="E34">
        <v>2</v>
      </c>
      <c r="F34" t="s">
        <v>33</v>
      </c>
      <c r="G34">
        <v>3</v>
      </c>
      <c r="H34" t="s">
        <v>25</v>
      </c>
      <c r="I34">
        <v>0</v>
      </c>
      <c r="J34">
        <v>50.871292510000004</v>
      </c>
      <c r="K34">
        <v>47.168980220000002</v>
      </c>
      <c r="L34">
        <v>0.250169957</v>
      </c>
      <c r="M34">
        <v>1</v>
      </c>
      <c r="N34">
        <v>0.387671612</v>
      </c>
      <c r="Z34" t="str">
        <v>KR derivative workspace</v>
      </c>
      <c r="AA34" t="str">
        <v>Available</v>
      </c>
      <c r="AC34" t="str">
        <v/>
      </c>
      <c r="AD34" t="str">
        <v>Num DF</v>
      </c>
      <c r="AE34" t="str">
        <v>Den DF</v>
      </c>
      <c r="AF34" t="str">
        <v>F</v>
      </c>
      <c r="AG34" t="str">
        <v>Pr(&gt;F)</v>
      </c>
      <c r="AH34" t="str">
        <v>Unscaled F</v>
      </c>
      <c r="AI34" t="str">
        <v>F scaling</v>
      </c>
      <c r="AJ34" t="str">
        <v>Requested Num DF</v>
      </c>
      <c r="AK34" t="str">
        <v>Rank reduced</v>
      </c>
      <c r="AL34" t="str">
        <v>Diagnostic</v>
      </c>
    </row>
    <row r="35" spans="1:38" x14ac:dyDescent="0.3">
      <c r="A35" t="s">
        <v>32</v>
      </c>
      <c r="B35">
        <v>9</v>
      </c>
      <c r="C35" t="s">
        <v>19</v>
      </c>
      <c r="D35" t="s">
        <v>16</v>
      </c>
      <c r="E35">
        <v>2</v>
      </c>
      <c r="F35" t="s">
        <v>33</v>
      </c>
      <c r="G35">
        <v>3</v>
      </c>
      <c r="H35" t="s">
        <v>25</v>
      </c>
      <c r="I35">
        <v>0</v>
      </c>
      <c r="J35">
        <v>50.871292510000004</v>
      </c>
      <c r="K35">
        <v>46.642867010000003</v>
      </c>
      <c r="L35">
        <v>0.64546689899999998</v>
      </c>
      <c r="M35">
        <v>2</v>
      </c>
      <c r="N35">
        <v>-5.3805040999999998E-2</v>
      </c>
      <c r="Z35" t="str">
        <v>KR linear adjusted Var(beta)</v>
      </c>
      <c r="AA35" t="str">
        <v>Available</v>
      </c>
      <c r="AC35" t="str">
        <v>RACEN</v>
      </c>
      <c r="AD35">
        <v>2</v>
      </c>
      <c r="AE35">
        <v>165.61987319605575</v>
      </c>
      <c r="AF35">
        <v>35.996885637344811</v>
      </c>
      <c r="AG35">
        <v>1.0447198661722723E-13</v>
      </c>
      <c r="AH35">
        <v>35.997550626888071</v>
      </c>
      <c r="AI35">
        <v>0.99998152681136143</v>
      </c>
      <c r="AJ35">
        <v>2</v>
      </c>
      <c r="AK35" t="str">
        <v>No</v>
      </c>
      <c r="AL35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36" spans="1:38" x14ac:dyDescent="0.3">
      <c r="A36" t="s">
        <v>32</v>
      </c>
      <c r="B36">
        <v>9</v>
      </c>
      <c r="C36" t="s">
        <v>20</v>
      </c>
      <c r="D36" t="s">
        <v>16</v>
      </c>
      <c r="E36">
        <v>2</v>
      </c>
      <c r="F36" t="s">
        <v>33</v>
      </c>
      <c r="G36">
        <v>3</v>
      </c>
      <c r="H36" t="s">
        <v>25</v>
      </c>
      <c r="I36">
        <v>0</v>
      </c>
      <c r="J36">
        <v>50.871292510000004</v>
      </c>
      <c r="L36">
        <v>0.396083299</v>
      </c>
      <c r="M36">
        <v>3</v>
      </c>
      <c r="N36">
        <v>-1.3770595569999999</v>
      </c>
      <c r="Z36" t="str">
        <v>KR backend status</v>
      </c>
      <c r="AA36" t="str">
        <v>Full KR adjusted Var(beta) computed on MmrmTheta parameter scale using P, Q, and R matrices.</v>
      </c>
      <c r="AC36" t="str">
        <v>SEXN</v>
      </c>
      <c r="AD36">
        <v>1</v>
      </c>
      <c r="AE36">
        <v>166.1790056974788</v>
      </c>
      <c r="AF36">
        <v>0.36585051735078722</v>
      </c>
      <c r="AG36">
        <v>0.54609984748821672</v>
      </c>
      <c r="AH36">
        <v>0.36585051735078722</v>
      </c>
      <c r="AI36">
        <v>1</v>
      </c>
      <c r="AJ36">
        <v>1</v>
      </c>
      <c r="AK36" t="str">
        <v>No</v>
      </c>
      <c r="AL36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37" spans="1:38" x14ac:dyDescent="0.3">
      <c r="A37" t="s">
        <v>32</v>
      </c>
      <c r="B37">
        <v>9</v>
      </c>
      <c r="C37" t="s">
        <v>21</v>
      </c>
      <c r="D37" t="s">
        <v>16</v>
      </c>
      <c r="E37">
        <v>2</v>
      </c>
      <c r="F37" t="s">
        <v>33</v>
      </c>
      <c r="G37">
        <v>3</v>
      </c>
      <c r="H37" t="s">
        <v>25</v>
      </c>
      <c r="I37">
        <v>0</v>
      </c>
      <c r="J37">
        <v>50.871292510000004</v>
      </c>
      <c r="K37">
        <v>58.09713223</v>
      </c>
      <c r="L37">
        <v>0.38930045600000002</v>
      </c>
      <c r="M37">
        <v>4</v>
      </c>
      <c r="N37">
        <v>-0.41499456299999998</v>
      </c>
      <c r="Z37" t="str">
        <v>KR second derivatives</v>
      </c>
      <c r="AA37" t="str">
        <v>Available</v>
      </c>
      <c r="AC37" t="str">
        <v>ARMCDN</v>
      </c>
      <c r="AD37">
        <v>1</v>
      </c>
      <c r="AE37">
        <v>145.54846807831566</v>
      </c>
      <c r="AF37">
        <v>12.281603548463053</v>
      </c>
      <c r="AG37">
        <v>6.0820604160438663E-4</v>
      </c>
      <c r="AH37">
        <v>12.281603548463057</v>
      </c>
      <c r="AI37">
        <v>0.99999999999999978</v>
      </c>
      <c r="AJ37">
        <v>1</v>
      </c>
      <c r="AK37" t="str">
        <v>No</v>
      </c>
      <c r="AL37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38" spans="1:38" x14ac:dyDescent="0.3">
      <c r="A38" t="s">
        <v>34</v>
      </c>
      <c r="B38">
        <v>10</v>
      </c>
      <c r="C38" t="s">
        <v>15</v>
      </c>
      <c r="D38" t="s">
        <v>23</v>
      </c>
      <c r="E38">
        <v>1</v>
      </c>
      <c r="F38" t="s">
        <v>17</v>
      </c>
      <c r="G38">
        <v>2</v>
      </c>
      <c r="H38" t="s">
        <v>18</v>
      </c>
      <c r="I38">
        <v>1</v>
      </c>
      <c r="J38">
        <v>57.726129499999999</v>
      </c>
      <c r="L38">
        <v>0.79503591900000004</v>
      </c>
      <c r="M38">
        <v>1</v>
      </c>
      <c r="N38">
        <v>-0.394289954</v>
      </c>
      <c r="Z38" t="str">
        <v>KR parameter scale</v>
      </c>
      <c r="AA38" t="str">
        <v>MmrmTheta</v>
      </c>
      <c r="AC38" t="str">
        <v>VISITN</v>
      </c>
      <c r="AD38">
        <v>3</v>
      </c>
      <c r="AE38">
        <v>159.16006968073552</v>
      </c>
      <c r="AF38">
        <v>73.509679139539713</v>
      </c>
      <c r="AG38">
        <v>0</v>
      </c>
      <c r="AH38">
        <v>74.345960353189042</v>
      </c>
      <c r="AI38">
        <v>0.98875149087218084</v>
      </c>
      <c r="AJ38">
        <v>3</v>
      </c>
      <c r="AK38" t="str">
        <v>No</v>
      </c>
      <c r="AL38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39" spans="1:38" x14ac:dyDescent="0.3">
      <c r="A39" t="s">
        <v>34</v>
      </c>
      <c r="B39">
        <v>10</v>
      </c>
      <c r="C39" t="s">
        <v>19</v>
      </c>
      <c r="D39" t="s">
        <v>23</v>
      </c>
      <c r="E39">
        <v>1</v>
      </c>
      <c r="F39" t="s">
        <v>17</v>
      </c>
      <c r="G39">
        <v>2</v>
      </c>
      <c r="H39" t="s">
        <v>18</v>
      </c>
      <c r="I39">
        <v>1</v>
      </c>
      <c r="J39">
        <v>57.726129499999999</v>
      </c>
      <c r="L39">
        <v>0.82332373299999995</v>
      </c>
      <c r="M39">
        <v>2</v>
      </c>
      <c r="N39">
        <v>-5.9313396999999997E-2</v>
      </c>
      <c r="Z39" t="str">
        <v>REML information criteria are diagnostic and should not be used to compare models with different fixed-effects specifications.</v>
      </c>
      <c r="AA39" t="str">
        <v/>
      </c>
      <c r="AC39" t="str">
        <v>A:D</v>
      </c>
      <c r="AD39">
        <v>3</v>
      </c>
      <c r="AE39">
        <v>152.59666840341677</v>
      </c>
      <c r="AF39">
        <v>0.25895907808530605</v>
      </c>
      <c r="AG39">
        <v>0.85485573492490396</v>
      </c>
      <c r="AH39">
        <v>0.26209601181206954</v>
      </c>
      <c r="AI39">
        <v>0.98803135650529172</v>
      </c>
      <c r="AJ39">
        <v>3</v>
      </c>
      <c r="AK39" t="str">
        <v>No</v>
      </c>
      <c r="AL39" t="str">
        <v>Multi-df KR F test computed with R mmrm-style F scaling and denominator DF. KR denominator DF and F scaling lambda computed by R mmrm-style h_kr_df moment matching on MmrmTheta parameter scale. Reused cached KR DF/scaling trace products.</v>
      </c>
    </row>
    <row r="40" spans="1:38" x14ac:dyDescent="0.3">
      <c r="A40" t="s">
        <v>34</v>
      </c>
      <c r="B40">
        <v>10</v>
      </c>
      <c r="C40" t="s">
        <v>20</v>
      </c>
      <c r="D40" t="s">
        <v>23</v>
      </c>
      <c r="E40">
        <v>1</v>
      </c>
      <c r="F40" t="s">
        <v>17</v>
      </c>
      <c r="G40">
        <v>2</v>
      </c>
      <c r="H40" t="s">
        <v>18</v>
      </c>
      <c r="I40">
        <v>1</v>
      </c>
      <c r="J40">
        <v>57.726129499999999</v>
      </c>
      <c r="K40">
        <v>44.976131979999998</v>
      </c>
      <c r="L40">
        <v>0.59393965199999998</v>
      </c>
      <c r="M40">
        <v>3</v>
      </c>
      <c r="N40">
        <v>1.1000253719999999</v>
      </c>
      <c r="AC40" t="str">
        <v>Uses KR-adjusted Var(beta) with R mmrm-style F scaling lambda and denominator DF when available.</v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</row>
    <row r="41" spans="1:38" x14ac:dyDescent="0.3">
      <c r="A41" t="s">
        <v>34</v>
      </c>
      <c r="B41">
        <v>10</v>
      </c>
      <c r="C41" t="s">
        <v>21</v>
      </c>
      <c r="D41" t="s">
        <v>23</v>
      </c>
      <c r="E41">
        <v>1</v>
      </c>
      <c r="F41" t="s">
        <v>17</v>
      </c>
      <c r="G41">
        <v>2</v>
      </c>
      <c r="H41" t="s">
        <v>18</v>
      </c>
      <c r="I41">
        <v>1</v>
      </c>
      <c r="J41">
        <v>57.726129499999999</v>
      </c>
      <c r="L41">
        <v>0.207225308</v>
      </c>
      <c r="M41">
        <v>4</v>
      </c>
      <c r="N41">
        <v>0.76317574799999999</v>
      </c>
      <c r="AC41" t="str">
        <v>KR parameter scale: MmrmTheta.</v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</row>
    <row r="42" spans="1:38" x14ac:dyDescent="0.3">
      <c r="A42" t="s">
        <v>35</v>
      </c>
      <c r="B42">
        <v>11</v>
      </c>
      <c r="C42" t="s">
        <v>15</v>
      </c>
      <c r="D42" t="s">
        <v>16</v>
      </c>
      <c r="E42">
        <v>2</v>
      </c>
      <c r="F42" t="s">
        <v>24</v>
      </c>
      <c r="G42">
        <v>1</v>
      </c>
      <c r="H42" t="s">
        <v>18</v>
      </c>
      <c r="I42">
        <v>1</v>
      </c>
      <c r="J42">
        <v>50.98501821</v>
      </c>
      <c r="K42">
        <v>44.327547819999999</v>
      </c>
      <c r="L42">
        <v>0.72575462400000001</v>
      </c>
      <c r="M42">
        <v>1</v>
      </c>
      <c r="N42">
        <v>-0.16452359599999999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</row>
    <row r="43" spans="1:38" x14ac:dyDescent="0.3">
      <c r="A43" t="s">
        <v>35</v>
      </c>
      <c r="B43">
        <v>11</v>
      </c>
      <c r="C43" t="s">
        <v>19</v>
      </c>
      <c r="D43" t="s">
        <v>16</v>
      </c>
      <c r="E43">
        <v>2</v>
      </c>
      <c r="F43" t="s">
        <v>24</v>
      </c>
      <c r="G43">
        <v>1</v>
      </c>
      <c r="H43" t="s">
        <v>18</v>
      </c>
      <c r="I43">
        <v>1</v>
      </c>
      <c r="J43">
        <v>50.98501821</v>
      </c>
      <c r="K43">
        <v>38.978127120000003</v>
      </c>
      <c r="L43">
        <v>0.44335905599999997</v>
      </c>
      <c r="M43">
        <v>2</v>
      </c>
      <c r="N43">
        <v>-0.25336167999999998</v>
      </c>
      <c r="AC43" t="str">
        <v>Covariance parameters</v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</row>
    <row r="44" spans="1:38" x14ac:dyDescent="0.3">
      <c r="A44" t="s">
        <v>35</v>
      </c>
      <c r="B44">
        <v>11</v>
      </c>
      <c r="C44" t="s">
        <v>20</v>
      </c>
      <c r="D44" t="s">
        <v>16</v>
      </c>
      <c r="E44">
        <v>2</v>
      </c>
      <c r="F44" t="s">
        <v>24</v>
      </c>
      <c r="G44">
        <v>1</v>
      </c>
      <c r="H44" t="s">
        <v>18</v>
      </c>
      <c r="I44">
        <v>1</v>
      </c>
      <c r="J44">
        <v>50.98501821</v>
      </c>
      <c r="K44">
        <v>43.728623820000003</v>
      </c>
      <c r="L44">
        <v>0.84181918</v>
      </c>
      <c r="M44">
        <v>3</v>
      </c>
      <c r="N44">
        <v>0.69696337500000005</v>
      </c>
      <c r="AC44" t="str">
        <v>Side</v>
      </c>
      <c r="AD44" t="str">
        <v>Parameter</v>
      </c>
      <c r="AE44" t="str">
        <v>Internal estimate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</row>
    <row r="45" spans="1:38" x14ac:dyDescent="0.3">
      <c r="A45" t="s">
        <v>35</v>
      </c>
      <c r="B45">
        <v>11</v>
      </c>
      <c r="C45" t="s">
        <v>21</v>
      </c>
      <c r="D45" t="s">
        <v>16</v>
      </c>
      <c r="E45">
        <v>2</v>
      </c>
      <c r="F45" t="s">
        <v>24</v>
      </c>
      <c r="G45">
        <v>1</v>
      </c>
      <c r="H45" t="s">
        <v>18</v>
      </c>
      <c r="I45">
        <v>1</v>
      </c>
      <c r="J45">
        <v>50.98501821</v>
      </c>
      <c r="K45">
        <v>46.433934979999997</v>
      </c>
      <c r="L45">
        <v>0.71859457999999998</v>
      </c>
      <c r="M45">
        <v>4</v>
      </c>
      <c r="N45">
        <v>0.55666319900000005</v>
      </c>
      <c r="AC45" t="str">
        <v>R</v>
      </c>
      <c r="AD45" t="str">
        <v>log_chol_diag_1</v>
      </c>
      <c r="AE45">
        <v>1.8513226395554245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</row>
    <row r="46" spans="1:38" x14ac:dyDescent="0.3">
      <c r="A46" t="s">
        <v>36</v>
      </c>
      <c r="B46">
        <v>12</v>
      </c>
      <c r="C46" t="s">
        <v>15</v>
      </c>
      <c r="D46" t="s">
        <v>23</v>
      </c>
      <c r="E46">
        <v>1</v>
      </c>
      <c r="F46" t="s">
        <v>24</v>
      </c>
      <c r="G46">
        <v>1</v>
      </c>
      <c r="H46" t="s">
        <v>25</v>
      </c>
      <c r="I46">
        <v>0</v>
      </c>
      <c r="J46">
        <v>34.712714859999998</v>
      </c>
      <c r="K46">
        <v>40.34575924</v>
      </c>
      <c r="L46">
        <v>0.30774499700000002</v>
      </c>
      <c r="M46">
        <v>1</v>
      </c>
      <c r="N46">
        <v>-0.688755695</v>
      </c>
      <c r="AC46" t="str">
        <v>R</v>
      </c>
      <c r="AD46" t="str">
        <v>chol_2_1</v>
      </c>
      <c r="AE46">
        <v>2.2605914821372863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</row>
    <row r="47" spans="1:38" x14ac:dyDescent="0.3">
      <c r="A47" t="s">
        <v>36</v>
      </c>
      <c r="B47">
        <v>12</v>
      </c>
      <c r="C47" t="s">
        <v>19</v>
      </c>
      <c r="D47" t="s">
        <v>23</v>
      </c>
      <c r="E47">
        <v>1</v>
      </c>
      <c r="F47" t="s">
        <v>24</v>
      </c>
      <c r="G47">
        <v>1</v>
      </c>
      <c r="H47" t="s">
        <v>25</v>
      </c>
      <c r="I47">
        <v>0</v>
      </c>
      <c r="J47">
        <v>34.712714859999998</v>
      </c>
      <c r="K47">
        <v>42.765678989999998</v>
      </c>
      <c r="L47">
        <v>0.35697973900000002</v>
      </c>
      <c r="M47">
        <v>2</v>
      </c>
      <c r="N47">
        <v>-0.70749515699999999</v>
      </c>
      <c r="AC47" t="str">
        <v>R</v>
      </c>
      <c r="AD47" t="str">
        <v>log_chol_diag_2</v>
      </c>
      <c r="AE47">
        <v>1.5331225089726142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</row>
    <row r="48" spans="1:38" x14ac:dyDescent="0.3">
      <c r="A48" t="s">
        <v>36</v>
      </c>
      <c r="B48">
        <v>12</v>
      </c>
      <c r="C48" t="s">
        <v>20</v>
      </c>
      <c r="D48" t="s">
        <v>23</v>
      </c>
      <c r="E48">
        <v>1</v>
      </c>
      <c r="F48" t="s">
        <v>24</v>
      </c>
      <c r="G48">
        <v>1</v>
      </c>
      <c r="H48" t="s">
        <v>25</v>
      </c>
      <c r="I48">
        <v>0</v>
      </c>
      <c r="J48">
        <v>34.712714859999998</v>
      </c>
      <c r="K48">
        <v>40.111548970000001</v>
      </c>
      <c r="L48">
        <v>0.148156126</v>
      </c>
      <c r="M48">
        <v>3</v>
      </c>
      <c r="N48">
        <v>0.36458196199999998</v>
      </c>
      <c r="AC48" t="str">
        <v>R</v>
      </c>
      <c r="AD48" t="str">
        <v>chol_3_1</v>
      </c>
      <c r="AE48">
        <v>0.78138497056918998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</row>
    <row r="49" spans="1:38" x14ac:dyDescent="0.3">
      <c r="A49" t="s">
        <v>36</v>
      </c>
      <c r="B49">
        <v>12</v>
      </c>
      <c r="C49" t="s">
        <v>21</v>
      </c>
      <c r="D49" t="s">
        <v>23</v>
      </c>
      <c r="E49">
        <v>1</v>
      </c>
      <c r="F49" t="s">
        <v>24</v>
      </c>
      <c r="G49">
        <v>1</v>
      </c>
      <c r="H49" t="s">
        <v>25</v>
      </c>
      <c r="I49">
        <v>0</v>
      </c>
      <c r="J49">
        <v>34.712714859999998</v>
      </c>
      <c r="L49">
        <v>0.13476516299999999</v>
      </c>
      <c r="M49">
        <v>4</v>
      </c>
      <c r="N49">
        <v>0.76853292500000003</v>
      </c>
      <c r="AC49" t="str">
        <v>R</v>
      </c>
      <c r="AD49" t="str">
        <v>chol_3_2</v>
      </c>
      <c r="AE49">
        <v>0.21957906885451522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</row>
    <row r="50" spans="1:38" x14ac:dyDescent="0.3">
      <c r="A50" t="s">
        <v>37</v>
      </c>
      <c r="B50">
        <v>13</v>
      </c>
      <c r="C50" t="s">
        <v>15</v>
      </c>
      <c r="D50" t="s">
        <v>16</v>
      </c>
      <c r="E50">
        <v>2</v>
      </c>
      <c r="F50" t="s">
        <v>33</v>
      </c>
      <c r="G50">
        <v>3</v>
      </c>
      <c r="H50" t="s">
        <v>25</v>
      </c>
      <c r="I50">
        <v>0</v>
      </c>
      <c r="J50">
        <v>47.26357771</v>
      </c>
      <c r="L50">
        <v>0.144043055</v>
      </c>
      <c r="M50">
        <v>1</v>
      </c>
      <c r="N50">
        <v>-0.112346212</v>
      </c>
      <c r="AC50" t="str">
        <v>R</v>
      </c>
      <c r="AD50" t="str">
        <v>log_chol_diag_3</v>
      </c>
      <c r="AE50">
        <v>1.3279985779728887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</row>
    <row r="51" spans="1:38" x14ac:dyDescent="0.3">
      <c r="A51" t="s">
        <v>37</v>
      </c>
      <c r="B51">
        <v>13</v>
      </c>
      <c r="C51" t="s">
        <v>19</v>
      </c>
      <c r="D51" t="s">
        <v>16</v>
      </c>
      <c r="E51">
        <v>2</v>
      </c>
      <c r="F51" t="s">
        <v>33</v>
      </c>
      <c r="G51">
        <v>3</v>
      </c>
      <c r="H51" t="s">
        <v>25</v>
      </c>
      <c r="I51">
        <v>0</v>
      </c>
      <c r="J51">
        <v>47.26357771</v>
      </c>
      <c r="L51">
        <v>0.60043423799999995</v>
      </c>
      <c r="M51">
        <v>2</v>
      </c>
      <c r="N51">
        <v>0.88110772599999998</v>
      </c>
      <c r="AC51" t="str">
        <v>R</v>
      </c>
      <c r="AD51" t="str">
        <v>chol_4_1</v>
      </c>
      <c r="AE51">
        <v>2.1007134937919494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</row>
    <row r="52" spans="1:38" x14ac:dyDescent="0.3">
      <c r="A52" t="s">
        <v>37</v>
      </c>
      <c r="B52">
        <v>13</v>
      </c>
      <c r="C52" t="s">
        <v>20</v>
      </c>
      <c r="D52" t="s">
        <v>16</v>
      </c>
      <c r="E52">
        <v>2</v>
      </c>
      <c r="F52" t="s">
        <v>33</v>
      </c>
      <c r="G52">
        <v>3</v>
      </c>
      <c r="H52" t="s">
        <v>25</v>
      </c>
      <c r="I52">
        <v>0</v>
      </c>
      <c r="J52">
        <v>47.26357771</v>
      </c>
      <c r="K52">
        <v>53.317914350000002</v>
      </c>
      <c r="L52">
        <v>0.87157623100000003</v>
      </c>
      <c r="M52">
        <v>3</v>
      </c>
      <c r="N52">
        <v>0.39810588000000002</v>
      </c>
      <c r="AC52" t="str">
        <v>R</v>
      </c>
      <c r="AD52" t="str">
        <v>chol_4_2</v>
      </c>
      <c r="AE52">
        <v>0.58896917673320237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 spans="1:38" x14ac:dyDescent="0.3">
      <c r="A53" t="s">
        <v>37</v>
      </c>
      <c r="B53">
        <v>13</v>
      </c>
      <c r="C53" t="s">
        <v>21</v>
      </c>
      <c r="D53" t="s">
        <v>16</v>
      </c>
      <c r="E53">
        <v>2</v>
      </c>
      <c r="F53" t="s">
        <v>33</v>
      </c>
      <c r="G53">
        <v>3</v>
      </c>
      <c r="H53" t="s">
        <v>25</v>
      </c>
      <c r="I53">
        <v>0</v>
      </c>
      <c r="J53">
        <v>47.26357771</v>
      </c>
      <c r="K53">
        <v>56.076412730000001</v>
      </c>
      <c r="L53">
        <v>0.761842295</v>
      </c>
      <c r="M53">
        <v>4</v>
      </c>
      <c r="N53">
        <v>-0.61202639299999995</v>
      </c>
      <c r="AC53" t="str">
        <v>R</v>
      </c>
      <c r="AD53" t="str">
        <v>chol_4_3</v>
      </c>
      <c r="AE53">
        <v>-0.22982406858257171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 spans="1:38" x14ac:dyDescent="0.3">
      <c r="A54" t="s">
        <v>38</v>
      </c>
      <c r="B54">
        <v>14</v>
      </c>
      <c r="C54" t="s">
        <v>15</v>
      </c>
      <c r="D54" t="s">
        <v>23</v>
      </c>
      <c r="E54">
        <v>1</v>
      </c>
      <c r="F54" t="s">
        <v>17</v>
      </c>
      <c r="G54">
        <v>2</v>
      </c>
      <c r="H54" t="s">
        <v>25</v>
      </c>
      <c r="I54">
        <v>0</v>
      </c>
      <c r="J54">
        <v>42.000955240000003</v>
      </c>
      <c r="L54">
        <v>0.352022589</v>
      </c>
      <c r="M54">
        <v>1</v>
      </c>
      <c r="N54">
        <v>0.341119691</v>
      </c>
      <c r="AC54" t="str">
        <v>R</v>
      </c>
      <c r="AD54" t="str">
        <v>log_chol_diag_4</v>
      </c>
      <c r="AE54">
        <v>2.2540200888624442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  <row r="55" spans="1:38" x14ac:dyDescent="0.3">
      <c r="A55" t="s">
        <v>38</v>
      </c>
      <c r="B55">
        <v>14</v>
      </c>
      <c r="C55" t="s">
        <v>19</v>
      </c>
      <c r="D55" t="s">
        <v>23</v>
      </c>
      <c r="E55">
        <v>1</v>
      </c>
      <c r="F55" t="s">
        <v>17</v>
      </c>
      <c r="G55">
        <v>2</v>
      </c>
      <c r="H55" t="s">
        <v>25</v>
      </c>
      <c r="I55">
        <v>0</v>
      </c>
      <c r="J55">
        <v>42.000955240000003</v>
      </c>
      <c r="L55">
        <v>0.270420361</v>
      </c>
      <c r="M55">
        <v>2</v>
      </c>
      <c r="N55">
        <v>-1.1293630960000001</v>
      </c>
      <c r="AC55" t="str">
        <v>Covariance parameters in this table are shown on the internal optimizer scale. User-scale G-side and R-side covariance/correlation matrices are reported in following tables when available.</v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</row>
    <row r="56" spans="1:38" x14ac:dyDescent="0.3">
      <c r="A56" t="s">
        <v>38</v>
      </c>
      <c r="B56">
        <v>14</v>
      </c>
      <c r="C56" t="s">
        <v>20</v>
      </c>
      <c r="D56" t="s">
        <v>23</v>
      </c>
      <c r="E56">
        <v>1</v>
      </c>
      <c r="F56" t="s">
        <v>17</v>
      </c>
      <c r="G56">
        <v>2</v>
      </c>
      <c r="H56" t="s">
        <v>25</v>
      </c>
      <c r="I56">
        <v>0</v>
      </c>
      <c r="J56">
        <v>42.000955240000003</v>
      </c>
      <c r="K56">
        <v>41.908371760000001</v>
      </c>
      <c r="L56">
        <v>0.68599689500000005</v>
      </c>
      <c r="M56">
        <v>3</v>
      </c>
      <c r="N56">
        <v>1.4330237020000001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</row>
    <row r="57" spans="1:38" x14ac:dyDescent="0.3">
      <c r="A57" t="s">
        <v>38</v>
      </c>
      <c r="B57">
        <v>14</v>
      </c>
      <c r="C57" t="s">
        <v>21</v>
      </c>
      <c r="D57" t="s">
        <v>23</v>
      </c>
      <c r="E57">
        <v>1</v>
      </c>
      <c r="F57" t="s">
        <v>17</v>
      </c>
      <c r="G57">
        <v>2</v>
      </c>
      <c r="H57" t="s">
        <v>25</v>
      </c>
      <c r="I57">
        <v>0</v>
      </c>
      <c r="J57">
        <v>42.000955240000003</v>
      </c>
      <c r="L57">
        <v>0.49939281600000002</v>
      </c>
      <c r="M57">
        <v>4</v>
      </c>
      <c r="N57">
        <v>1.980399899</v>
      </c>
      <c r="AC57" t="str">
        <v>Estimated R covariance matrix</v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</row>
    <row r="58" spans="1:38" x14ac:dyDescent="0.3">
      <c r="A58" t="s">
        <v>39</v>
      </c>
      <c r="B58">
        <v>15</v>
      </c>
      <c r="C58" t="s">
        <v>15</v>
      </c>
      <c r="D58" t="s">
        <v>23</v>
      </c>
      <c r="E58">
        <v>1</v>
      </c>
      <c r="F58" t="s">
        <v>24</v>
      </c>
      <c r="G58">
        <v>1</v>
      </c>
      <c r="H58" t="s">
        <v>25</v>
      </c>
      <c r="I58">
        <v>0</v>
      </c>
      <c r="J58">
        <v>14.342696760000001</v>
      </c>
      <c r="L58">
        <v>0.68381757700000001</v>
      </c>
      <c r="M58">
        <v>1</v>
      </c>
      <c r="N58">
        <v>-0.36722147599999999</v>
      </c>
      <c r="AC58" t="str">
        <v/>
      </c>
      <c r="AD58" t="str">
        <v>Visit 1</v>
      </c>
      <c r="AE58" t="str">
        <v>Visit 2</v>
      </c>
      <c r="AF58" t="str">
        <v>Visit 3</v>
      </c>
      <c r="AG58" t="str">
        <v>Visit 4</v>
      </c>
      <c r="AH58" t="str">
        <v/>
      </c>
      <c r="AI58" t="str">
        <v/>
      </c>
      <c r="AJ58" t="str">
        <v/>
      </c>
      <c r="AK58" t="str">
        <v/>
      </c>
      <c r="AL58" t="str">
        <v/>
      </c>
    </row>
    <row r="59" spans="1:38" x14ac:dyDescent="0.3">
      <c r="A59" t="s">
        <v>39</v>
      </c>
      <c r="B59">
        <v>15</v>
      </c>
      <c r="C59" t="s">
        <v>19</v>
      </c>
      <c r="D59" t="s">
        <v>23</v>
      </c>
      <c r="E59">
        <v>1</v>
      </c>
      <c r="F59" t="s">
        <v>24</v>
      </c>
      <c r="G59">
        <v>1</v>
      </c>
      <c r="H59" t="s">
        <v>25</v>
      </c>
      <c r="I59">
        <v>0</v>
      </c>
      <c r="J59">
        <v>14.342696760000001</v>
      </c>
      <c r="L59">
        <v>0.164268835</v>
      </c>
      <c r="M59">
        <v>2</v>
      </c>
      <c r="N59">
        <v>-1.044134626</v>
      </c>
      <c r="AC59" t="str">
        <v>Visit 1</v>
      </c>
      <c r="AD59">
        <v>40.55444040928402</v>
      </c>
      <c r="AE59">
        <v>14.39598194945107</v>
      </c>
      <c r="AF59">
        <v>4.9760445532826578</v>
      </c>
      <c r="AG59">
        <v>13.377841054680484</v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 spans="1:38" x14ac:dyDescent="0.3">
      <c r="A60" t="s">
        <v>39</v>
      </c>
      <c r="B60">
        <v>15</v>
      </c>
      <c r="C60" t="s">
        <v>20</v>
      </c>
      <c r="D60" t="s">
        <v>23</v>
      </c>
      <c r="E60">
        <v>1</v>
      </c>
      <c r="F60" t="s">
        <v>24</v>
      </c>
      <c r="G60">
        <v>1</v>
      </c>
      <c r="H60" t="s">
        <v>25</v>
      </c>
      <c r="I60">
        <v>0</v>
      </c>
      <c r="J60">
        <v>14.342696760000001</v>
      </c>
      <c r="K60">
        <v>34.656625060000003</v>
      </c>
      <c r="L60">
        <v>0.44842438800000001</v>
      </c>
      <c r="M60">
        <v>3</v>
      </c>
      <c r="N60">
        <v>0.56971962700000001</v>
      </c>
      <c r="AC60" t="str">
        <v>Visit 2</v>
      </c>
      <c r="AD60">
        <v>14.39598194945107</v>
      </c>
      <c r="AE60">
        <v>26.571438745464906</v>
      </c>
      <c r="AF60">
        <v>2.7836185196153327</v>
      </c>
      <c r="AG60">
        <v>7.4773252166095361</v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 spans="1:38" x14ac:dyDescent="0.3">
      <c r="A61" t="s">
        <v>39</v>
      </c>
      <c r="B61">
        <v>15</v>
      </c>
      <c r="C61" t="s">
        <v>21</v>
      </c>
      <c r="D61" t="s">
        <v>23</v>
      </c>
      <c r="E61">
        <v>1</v>
      </c>
      <c r="F61" t="s">
        <v>24</v>
      </c>
      <c r="G61">
        <v>1</v>
      </c>
      <c r="H61" t="s">
        <v>25</v>
      </c>
      <c r="I61">
        <v>0</v>
      </c>
      <c r="J61">
        <v>14.342696760000001</v>
      </c>
      <c r="K61">
        <v>39.077914759999999</v>
      </c>
      <c r="L61">
        <v>0.28926436300000002</v>
      </c>
      <c r="M61">
        <v>4</v>
      </c>
      <c r="N61">
        <v>-0.13505460399999999</v>
      </c>
      <c r="AC61" t="str">
        <v>Visit 3</v>
      </c>
      <c r="AD61">
        <v>4.9760445532826578</v>
      </c>
      <c r="AE61">
        <v>2.7836185196153327</v>
      </c>
      <c r="AF61">
        <v>14.897955102913784</v>
      </c>
      <c r="AG61">
        <v>0.90355392610773433</v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 spans="1:38" x14ac:dyDescent="0.3">
      <c r="A62" t="s">
        <v>40</v>
      </c>
      <c r="B62">
        <v>16</v>
      </c>
      <c r="C62" t="s">
        <v>15</v>
      </c>
      <c r="D62" t="s">
        <v>23</v>
      </c>
      <c r="E62">
        <v>1</v>
      </c>
      <c r="F62" t="s">
        <v>24</v>
      </c>
      <c r="G62">
        <v>1</v>
      </c>
      <c r="H62" t="s">
        <v>18</v>
      </c>
      <c r="I62">
        <v>1</v>
      </c>
      <c r="J62">
        <v>47.072849859999998</v>
      </c>
      <c r="L62">
        <v>0.73325423899999997</v>
      </c>
      <c r="M62">
        <v>1</v>
      </c>
      <c r="N62">
        <v>2.4016177609999998</v>
      </c>
      <c r="AC62" t="str">
        <v>Visit 4</v>
      </c>
      <c r="AD62">
        <v>13.377841054680484</v>
      </c>
      <c r="AE62">
        <v>7.4773252166095361</v>
      </c>
      <c r="AF62">
        <v>0.90355392610773433</v>
      </c>
      <c r="AG62">
        <v>95.556503378905887</v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 spans="1:38" x14ac:dyDescent="0.3">
      <c r="A63" t="s">
        <v>40</v>
      </c>
      <c r="B63">
        <v>16</v>
      </c>
      <c r="C63" t="s">
        <v>19</v>
      </c>
      <c r="D63" t="s">
        <v>23</v>
      </c>
      <c r="E63">
        <v>1</v>
      </c>
      <c r="F63" t="s">
        <v>24</v>
      </c>
      <c r="G63">
        <v>1</v>
      </c>
      <c r="H63" t="s">
        <v>18</v>
      </c>
      <c r="I63">
        <v>1</v>
      </c>
      <c r="J63">
        <v>47.072849859999998</v>
      </c>
      <c r="K63">
        <v>35.896120269999997</v>
      </c>
      <c r="L63">
        <v>0.30694745400000001</v>
      </c>
      <c r="M63">
        <v>2</v>
      </c>
      <c r="N63">
        <v>-3.9240003000000002E-2</v>
      </c>
      <c r="AC63" t="str">
        <v>For MMRM/no-random-effects fits, this R matrix is the fitted marginal within-subject covariance matrix.  Structure: Unstructured.</v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 spans="1:38" x14ac:dyDescent="0.3">
      <c r="A64" t="s">
        <v>40</v>
      </c>
      <c r="B64">
        <v>16</v>
      </c>
      <c r="C64" t="s">
        <v>20</v>
      </c>
      <c r="D64" t="s">
        <v>23</v>
      </c>
      <c r="E64">
        <v>1</v>
      </c>
      <c r="F64" t="s">
        <v>24</v>
      </c>
      <c r="G64">
        <v>1</v>
      </c>
      <c r="H64" t="s">
        <v>18</v>
      </c>
      <c r="I64">
        <v>1</v>
      </c>
      <c r="J64">
        <v>47.072849859999998</v>
      </c>
      <c r="L64">
        <v>0.88878706500000004</v>
      </c>
      <c r="M64">
        <v>3</v>
      </c>
      <c r="N64">
        <v>0.68973936199999997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 spans="1:38" x14ac:dyDescent="0.3">
      <c r="A65" t="s">
        <v>40</v>
      </c>
      <c r="B65">
        <v>16</v>
      </c>
      <c r="C65" t="s">
        <v>21</v>
      </c>
      <c r="D65" t="s">
        <v>23</v>
      </c>
      <c r="E65">
        <v>1</v>
      </c>
      <c r="F65" t="s">
        <v>24</v>
      </c>
      <c r="G65">
        <v>1</v>
      </c>
      <c r="H65" t="s">
        <v>18</v>
      </c>
      <c r="I65">
        <v>1</v>
      </c>
      <c r="J65">
        <v>47.072849859999998</v>
      </c>
      <c r="K65">
        <v>47.672635929999998</v>
      </c>
      <c r="L65">
        <v>0.70549899500000002</v>
      </c>
      <c r="M65">
        <v>4</v>
      </c>
      <c r="N65">
        <v>2.8002158999999999E-2</v>
      </c>
      <c r="AC65" t="str">
        <v>Estimated R correlation matrix</v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 spans="1:38" x14ac:dyDescent="0.3">
      <c r="A66" t="s">
        <v>41</v>
      </c>
      <c r="B66">
        <v>17</v>
      </c>
      <c r="C66" t="s">
        <v>15</v>
      </c>
      <c r="D66" t="s">
        <v>23</v>
      </c>
      <c r="E66">
        <v>1</v>
      </c>
      <c r="F66" t="s">
        <v>33</v>
      </c>
      <c r="G66">
        <v>3</v>
      </c>
      <c r="H66" t="s">
        <v>18</v>
      </c>
      <c r="I66">
        <v>1</v>
      </c>
      <c r="J66">
        <v>17.175155289999999</v>
      </c>
      <c r="K66">
        <v>22.654403760000001</v>
      </c>
      <c r="L66">
        <v>0.88382259799999996</v>
      </c>
      <c r="M66">
        <v>1</v>
      </c>
      <c r="N66">
        <v>-0.74327320900000005</v>
      </c>
      <c r="AC66" t="str">
        <v/>
      </c>
      <c r="AD66" t="str">
        <v>Visit 1</v>
      </c>
      <c r="AE66" t="str">
        <v>Visit 2</v>
      </c>
      <c r="AF66" t="str">
        <v>Visit 3</v>
      </c>
      <c r="AG66" t="str">
        <v>Visit 4</v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 spans="1:38" x14ac:dyDescent="0.3">
      <c r="A67" t="s">
        <v>41</v>
      </c>
      <c r="B67">
        <v>17</v>
      </c>
      <c r="C67" t="s">
        <v>19</v>
      </c>
      <c r="D67" t="s">
        <v>23</v>
      </c>
      <c r="E67">
        <v>1</v>
      </c>
      <c r="F67" t="s">
        <v>33</v>
      </c>
      <c r="G67">
        <v>3</v>
      </c>
      <c r="H67" t="s">
        <v>18</v>
      </c>
      <c r="I67">
        <v>1</v>
      </c>
      <c r="J67">
        <v>17.175155289999999</v>
      </c>
      <c r="L67">
        <v>0.27515827100000001</v>
      </c>
      <c r="M67">
        <v>2</v>
      </c>
      <c r="N67">
        <v>0.1887923</v>
      </c>
      <c r="AC67" t="str">
        <v>Visit 1</v>
      </c>
      <c r="AD67">
        <v>1</v>
      </c>
      <c r="AE67">
        <v>0.4385453915701546</v>
      </c>
      <c r="AF67">
        <v>0.20244251453352949</v>
      </c>
      <c r="AG67">
        <v>0.21490014093893156</v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 spans="1:38" x14ac:dyDescent="0.3">
      <c r="A68" t="s">
        <v>41</v>
      </c>
      <c r="B68">
        <v>17</v>
      </c>
      <c r="C68" t="s">
        <v>20</v>
      </c>
      <c r="D68" t="s">
        <v>23</v>
      </c>
      <c r="E68">
        <v>1</v>
      </c>
      <c r="F68" t="s">
        <v>33</v>
      </c>
      <c r="G68">
        <v>3</v>
      </c>
      <c r="H68" t="s">
        <v>18</v>
      </c>
      <c r="I68">
        <v>1</v>
      </c>
      <c r="J68">
        <v>17.175155289999999</v>
      </c>
      <c r="L68">
        <v>0.85896574599999997</v>
      </c>
      <c r="M68">
        <v>3</v>
      </c>
      <c r="N68">
        <v>-1.8049586289999999</v>
      </c>
      <c r="AC68" t="str">
        <v>Visit 2</v>
      </c>
      <c r="AD68">
        <v>0.4385453915701546</v>
      </c>
      <c r="AE68">
        <v>1</v>
      </c>
      <c r="AF68">
        <v>0.13990680903699976</v>
      </c>
      <c r="AG68">
        <v>0.14839135827767019</v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 spans="1:38" x14ac:dyDescent="0.3">
      <c r="A69" t="s">
        <v>41</v>
      </c>
      <c r="B69">
        <v>17</v>
      </c>
      <c r="C69" t="s">
        <v>21</v>
      </c>
      <c r="D69" t="s">
        <v>23</v>
      </c>
      <c r="E69">
        <v>1</v>
      </c>
      <c r="F69" t="s">
        <v>33</v>
      </c>
      <c r="G69">
        <v>3</v>
      </c>
      <c r="H69" t="s">
        <v>18</v>
      </c>
      <c r="I69">
        <v>1</v>
      </c>
      <c r="J69">
        <v>17.175155289999999</v>
      </c>
      <c r="K69">
        <v>40.853755870000001</v>
      </c>
      <c r="L69">
        <v>0.21956635699999999</v>
      </c>
      <c r="M69">
        <v>4</v>
      </c>
      <c r="N69">
        <v>1.4655548620000001</v>
      </c>
      <c r="AC69" t="str">
        <v>Visit 3</v>
      </c>
      <c r="AD69">
        <v>0.20244251453352949</v>
      </c>
      <c r="AE69">
        <v>0.13990680903699976</v>
      </c>
      <c r="AF69">
        <v>1</v>
      </c>
      <c r="AG69">
        <v>2.3947524264376033E-2</v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 spans="1:38" x14ac:dyDescent="0.3">
      <c r="A70" t="s">
        <v>42</v>
      </c>
      <c r="B70">
        <v>18</v>
      </c>
      <c r="C70" t="s">
        <v>15</v>
      </c>
      <c r="D70" t="s">
        <v>16</v>
      </c>
      <c r="E70">
        <v>2</v>
      </c>
      <c r="F70" t="s">
        <v>24</v>
      </c>
      <c r="G70">
        <v>1</v>
      </c>
      <c r="H70" t="s">
        <v>25</v>
      </c>
      <c r="I70">
        <v>0</v>
      </c>
      <c r="J70">
        <v>55.162419120000003</v>
      </c>
      <c r="K70">
        <v>32.600479540000002</v>
      </c>
      <c r="L70">
        <v>0.58028557700000005</v>
      </c>
      <c r="M70">
        <v>1</v>
      </c>
      <c r="N70">
        <v>0.15325333799999999</v>
      </c>
      <c r="AC70" t="str">
        <v>Visit 4</v>
      </c>
      <c r="AD70">
        <v>0.21490014093893156</v>
      </c>
      <c r="AE70">
        <v>0.14839135827767019</v>
      </c>
      <c r="AF70">
        <v>2.3947524264376033E-2</v>
      </c>
      <c r="AG70">
        <v>1</v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 spans="1:38" x14ac:dyDescent="0.3">
      <c r="A71" t="s">
        <v>42</v>
      </c>
      <c r="B71">
        <v>18</v>
      </c>
      <c r="C71" t="s">
        <v>19</v>
      </c>
      <c r="D71" t="s">
        <v>16</v>
      </c>
      <c r="E71">
        <v>2</v>
      </c>
      <c r="F71" t="s">
        <v>24</v>
      </c>
      <c r="G71">
        <v>1</v>
      </c>
      <c r="H71" t="s">
        <v>25</v>
      </c>
      <c r="I71">
        <v>0</v>
      </c>
      <c r="J71">
        <v>55.162419120000003</v>
      </c>
      <c r="K71">
        <v>33.643287919999999</v>
      </c>
      <c r="L71">
        <v>0.85714460100000001</v>
      </c>
      <c r="M71">
        <v>2</v>
      </c>
      <c r="N71">
        <v>2.1726116700000002</v>
      </c>
      <c r="AC71" t="str">
        <v>Correlations are derived from the fitted R covariance matrix as R_ij / sqrt(R_ii R_jj).  Structure: Unstructured.</v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 spans="1:38" x14ac:dyDescent="0.3">
      <c r="A72" t="s">
        <v>42</v>
      </c>
      <c r="B72">
        <v>18</v>
      </c>
      <c r="C72" t="s">
        <v>20</v>
      </c>
      <c r="D72" t="s">
        <v>16</v>
      </c>
      <c r="E72">
        <v>2</v>
      </c>
      <c r="F72" t="s">
        <v>24</v>
      </c>
      <c r="G72">
        <v>1</v>
      </c>
      <c r="H72" t="s">
        <v>25</v>
      </c>
      <c r="I72">
        <v>0</v>
      </c>
      <c r="J72">
        <v>55.162419120000003</v>
      </c>
      <c r="L72">
        <v>0.65068268600000001</v>
      </c>
      <c r="M72">
        <v>3</v>
      </c>
      <c r="N72">
        <v>0.47550952899999999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 spans="1:38" x14ac:dyDescent="0.3">
      <c r="A73" t="s">
        <v>42</v>
      </c>
      <c r="B73">
        <v>18</v>
      </c>
      <c r="C73" t="s">
        <v>21</v>
      </c>
      <c r="D73" t="s">
        <v>16</v>
      </c>
      <c r="E73">
        <v>2</v>
      </c>
      <c r="F73" t="s">
        <v>24</v>
      </c>
      <c r="G73">
        <v>1</v>
      </c>
      <c r="H73" t="s">
        <v>25</v>
      </c>
      <c r="I73">
        <v>0</v>
      </c>
      <c r="J73">
        <v>55.162419120000003</v>
      </c>
      <c r="K73">
        <v>40.922778460000004</v>
      </c>
      <c r="L73">
        <v>0.504426979</v>
      </c>
      <c r="M73">
        <v>4</v>
      </c>
      <c r="N73">
        <v>-0.70994643099999999</v>
      </c>
      <c r="AC73" t="str">
        <v>Fit statistics</v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 spans="1:38" x14ac:dyDescent="0.3">
      <c r="A74" t="s">
        <v>43</v>
      </c>
      <c r="B74">
        <v>19</v>
      </c>
      <c r="C74" t="s">
        <v>15</v>
      </c>
      <c r="D74" t="s">
        <v>16</v>
      </c>
      <c r="E74">
        <v>2</v>
      </c>
      <c r="F74" t="s">
        <v>24</v>
      </c>
      <c r="G74">
        <v>1</v>
      </c>
      <c r="H74" t="s">
        <v>25</v>
      </c>
      <c r="I74">
        <v>0</v>
      </c>
      <c r="J74">
        <v>32.751436890000001</v>
      </c>
      <c r="K74">
        <v>32.148306779999999</v>
      </c>
      <c r="L74">
        <v>0.39834899600000001</v>
      </c>
      <c r="M74">
        <v>1</v>
      </c>
      <c r="N74">
        <v>0.610726353</v>
      </c>
      <c r="AC74" t="str">
        <v/>
      </c>
      <c r="AD74" t="str">
        <v>Value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 spans="1:38" x14ac:dyDescent="0.3">
      <c r="A75" t="s">
        <v>43</v>
      </c>
      <c r="B75">
        <v>19</v>
      </c>
      <c r="C75" t="s">
        <v>19</v>
      </c>
      <c r="D75" t="s">
        <v>16</v>
      </c>
      <c r="E75">
        <v>2</v>
      </c>
      <c r="F75" t="s">
        <v>24</v>
      </c>
      <c r="G75">
        <v>1</v>
      </c>
      <c r="H75" t="s">
        <v>25</v>
      </c>
      <c r="I75">
        <v>0</v>
      </c>
      <c r="J75">
        <v>32.751436890000001</v>
      </c>
      <c r="K75">
        <v>46.436039000000001</v>
      </c>
      <c r="L75">
        <v>0.36864403099999998</v>
      </c>
      <c r="M75">
        <v>2</v>
      </c>
      <c r="N75">
        <v>-0.93409763199999996</v>
      </c>
      <c r="AC75" t="str">
        <v>Fit method</v>
      </c>
      <c r="AD75" t="str">
        <v>REML</v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 spans="1:38" x14ac:dyDescent="0.3">
      <c r="A76" t="s">
        <v>43</v>
      </c>
      <c r="B76">
        <v>19</v>
      </c>
      <c r="C76" t="s">
        <v>20</v>
      </c>
      <c r="D76" t="s">
        <v>16</v>
      </c>
      <c r="E76">
        <v>2</v>
      </c>
      <c r="F76" t="s">
        <v>24</v>
      </c>
      <c r="G76">
        <v>1</v>
      </c>
      <c r="H76" t="s">
        <v>25</v>
      </c>
      <c r="I76">
        <v>0</v>
      </c>
      <c r="J76">
        <v>32.751436890000001</v>
      </c>
      <c r="K76">
        <v>41.349734120000001</v>
      </c>
      <c r="L76">
        <v>0.13860108199999999</v>
      </c>
      <c r="M76">
        <v>3</v>
      </c>
      <c r="N76">
        <v>-1.2536334</v>
      </c>
      <c r="AC76" t="str">
        <v>N observations</v>
      </c>
      <c r="AD76">
        <v>537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 spans="1:38" x14ac:dyDescent="0.3">
      <c r="A77" t="s">
        <v>43</v>
      </c>
      <c r="B77">
        <v>19</v>
      </c>
      <c r="C77" t="s">
        <v>21</v>
      </c>
      <c r="D77" t="s">
        <v>16</v>
      </c>
      <c r="E77">
        <v>2</v>
      </c>
      <c r="F77" t="s">
        <v>24</v>
      </c>
      <c r="G77">
        <v>1</v>
      </c>
      <c r="H77" t="s">
        <v>25</v>
      </c>
      <c r="I77">
        <v>0</v>
      </c>
      <c r="J77">
        <v>32.751436890000001</v>
      </c>
      <c r="K77">
        <v>66.303816639999994</v>
      </c>
      <c r="L77">
        <v>0.59515803099999998</v>
      </c>
      <c r="M77">
        <v>4</v>
      </c>
      <c r="N77">
        <v>0.29144623600000003</v>
      </c>
      <c r="AC77" t="str">
        <v>Subjects</v>
      </c>
      <c r="AD77">
        <v>197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 spans="1:38" x14ac:dyDescent="0.3">
      <c r="A78" t="s">
        <v>44</v>
      </c>
      <c r="B78">
        <v>20</v>
      </c>
      <c r="C78" t="s">
        <v>15</v>
      </c>
      <c r="D78" t="s">
        <v>16</v>
      </c>
      <c r="E78">
        <v>2</v>
      </c>
      <c r="F78" t="s">
        <v>33</v>
      </c>
      <c r="G78">
        <v>3</v>
      </c>
      <c r="H78" t="s">
        <v>18</v>
      </c>
      <c r="I78">
        <v>1</v>
      </c>
      <c r="J78">
        <v>37.372227860000002</v>
      </c>
      <c r="L78">
        <v>0.86915783300000005</v>
      </c>
      <c r="M78">
        <v>1</v>
      </c>
      <c r="N78">
        <v>-0.443291873</v>
      </c>
      <c r="AC78" t="str">
        <v>Execution time</v>
      </c>
      <c r="AD78" t="str">
        <v>0.956 s</v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 spans="1:38" x14ac:dyDescent="0.3">
      <c r="A79" t="s">
        <v>44</v>
      </c>
      <c r="B79">
        <v>20</v>
      </c>
      <c r="C79" t="s">
        <v>19</v>
      </c>
      <c r="D79" t="s">
        <v>16</v>
      </c>
      <c r="E79">
        <v>2</v>
      </c>
      <c r="F79" t="s">
        <v>33</v>
      </c>
      <c r="G79">
        <v>3</v>
      </c>
      <c r="H79" t="s">
        <v>18</v>
      </c>
      <c r="I79">
        <v>1</v>
      </c>
      <c r="J79">
        <v>37.372227860000002</v>
      </c>
      <c r="K79">
        <v>47.953584859999999</v>
      </c>
      <c r="L79">
        <v>0.62396840799999997</v>
      </c>
      <c r="M79">
        <v>2</v>
      </c>
      <c r="N79">
        <v>1.105352E-3</v>
      </c>
      <c r="AC79" t="str">
        <v>Fixed-effect parameters</v>
      </c>
      <c r="AD79">
        <v>11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 spans="1:38" x14ac:dyDescent="0.3">
      <c r="A80" t="s">
        <v>44</v>
      </c>
      <c r="B80">
        <v>20</v>
      </c>
      <c r="C80" t="s">
        <v>20</v>
      </c>
      <c r="D80" t="s">
        <v>16</v>
      </c>
      <c r="E80">
        <v>2</v>
      </c>
      <c r="F80" t="s">
        <v>33</v>
      </c>
      <c r="G80">
        <v>3</v>
      </c>
      <c r="H80" t="s">
        <v>18</v>
      </c>
      <c r="I80">
        <v>1</v>
      </c>
      <c r="J80">
        <v>37.372227860000002</v>
      </c>
      <c r="K80">
        <v>53.97363919</v>
      </c>
      <c r="L80">
        <v>0.50823359300000004</v>
      </c>
      <c r="M80">
        <v>3</v>
      </c>
      <c r="N80">
        <v>7.4341324E-2</v>
      </c>
      <c r="AC80" t="str">
        <v>Random-effect columns</v>
      </c>
      <c r="AD80">
        <v>0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 spans="1:38" x14ac:dyDescent="0.3">
      <c r="A81" t="s">
        <v>44</v>
      </c>
      <c r="B81">
        <v>20</v>
      </c>
      <c r="C81" t="s">
        <v>21</v>
      </c>
      <c r="D81" t="s">
        <v>16</v>
      </c>
      <c r="E81">
        <v>2</v>
      </c>
      <c r="F81" t="s">
        <v>33</v>
      </c>
      <c r="G81">
        <v>3</v>
      </c>
      <c r="H81" t="s">
        <v>18</v>
      </c>
      <c r="I81">
        <v>1</v>
      </c>
      <c r="J81">
        <v>37.372227860000002</v>
      </c>
      <c r="L81">
        <v>0.220078569</v>
      </c>
      <c r="M81">
        <v>4</v>
      </c>
      <c r="N81">
        <v>-0.58952094600000005</v>
      </c>
      <c r="AC81" t="str">
        <v>Objective</v>
      </c>
      <c r="AD81">
        <v>3386.4498711866822</v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 spans="1:38" x14ac:dyDescent="0.3">
      <c r="A82" t="s">
        <v>45</v>
      </c>
      <c r="B82">
        <v>21</v>
      </c>
      <c r="C82" t="s">
        <v>15</v>
      </c>
      <c r="D82" t="s">
        <v>16</v>
      </c>
      <c r="E82">
        <v>2</v>
      </c>
      <c r="F82" t="s">
        <v>33</v>
      </c>
      <c r="G82">
        <v>3</v>
      </c>
      <c r="H82" t="s">
        <v>25</v>
      </c>
      <c r="I82">
        <v>0</v>
      </c>
      <c r="J82">
        <v>54.846752760000001</v>
      </c>
      <c r="L82">
        <v>0.79635830399999996</v>
      </c>
      <c r="M82">
        <v>1</v>
      </c>
      <c r="N82">
        <v>-0.56866873299999998</v>
      </c>
      <c r="AC82" t="str">
        <v>Log-likelihood</v>
      </c>
      <c r="AD82">
        <v>-1693.2249355933411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 spans="1:38" x14ac:dyDescent="0.3">
      <c r="A83" t="s">
        <v>45</v>
      </c>
      <c r="B83">
        <v>21</v>
      </c>
      <c r="C83" t="s">
        <v>19</v>
      </c>
      <c r="D83" t="s">
        <v>16</v>
      </c>
      <c r="E83">
        <v>2</v>
      </c>
      <c r="F83" t="s">
        <v>33</v>
      </c>
      <c r="G83">
        <v>3</v>
      </c>
      <c r="H83" t="s">
        <v>25</v>
      </c>
      <c r="I83">
        <v>0</v>
      </c>
      <c r="J83">
        <v>54.846752760000001</v>
      </c>
      <c r="K83">
        <v>56.645435880000001</v>
      </c>
      <c r="L83">
        <v>0.51155334200000002</v>
      </c>
      <c r="M83">
        <v>2</v>
      </c>
      <c r="N83">
        <v>-0.135178615</v>
      </c>
      <c r="AC83" t="str">
        <v>AIC</v>
      </c>
      <c r="AD83">
        <v>3406.4498711866822</v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 spans="1:38" x14ac:dyDescent="0.3">
      <c r="A84" t="s">
        <v>45</v>
      </c>
      <c r="B84">
        <v>21</v>
      </c>
      <c r="C84" t="s">
        <v>20</v>
      </c>
      <c r="D84" t="s">
        <v>16</v>
      </c>
      <c r="E84">
        <v>2</v>
      </c>
      <c r="F84" t="s">
        <v>33</v>
      </c>
      <c r="G84">
        <v>3</v>
      </c>
      <c r="H84" t="s">
        <v>25</v>
      </c>
      <c r="I84">
        <v>0</v>
      </c>
      <c r="J84">
        <v>54.846752760000001</v>
      </c>
      <c r="K84">
        <v>49.708716209999999</v>
      </c>
      <c r="L84">
        <v>0.10691833100000001</v>
      </c>
      <c r="M84">
        <v>3</v>
      </c>
      <c r="N84">
        <v>1.1780869970000001</v>
      </c>
      <c r="AC84" t="str">
        <v>BIC</v>
      </c>
      <c r="AD84">
        <v>3449.3098521317711</v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 spans="1:38" x14ac:dyDescent="0.3">
      <c r="A85" t="s">
        <v>45</v>
      </c>
      <c r="B85">
        <v>21</v>
      </c>
      <c r="C85" t="s">
        <v>21</v>
      </c>
      <c r="D85" t="s">
        <v>16</v>
      </c>
      <c r="E85">
        <v>2</v>
      </c>
      <c r="F85" t="s">
        <v>33</v>
      </c>
      <c r="G85">
        <v>3</v>
      </c>
      <c r="H85" t="s">
        <v>25</v>
      </c>
      <c r="I85">
        <v>0</v>
      </c>
      <c r="J85">
        <v>54.846752760000001</v>
      </c>
      <c r="K85">
        <v>60.404967759999998</v>
      </c>
      <c r="L85">
        <v>0.115355812</v>
      </c>
      <c r="M85">
        <v>4</v>
      </c>
      <c r="N85">
        <v>-1.5235668</v>
      </c>
      <c r="AC85" t="str">
        <v>REML criterion</v>
      </c>
      <c r="AD85">
        <v>3386.4498711866822</v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 spans="1:38" x14ac:dyDescent="0.3">
      <c r="A86" t="s">
        <v>46</v>
      </c>
      <c r="B86">
        <v>22</v>
      </c>
      <c r="C86" t="s">
        <v>15</v>
      </c>
      <c r="D86" t="s">
        <v>16</v>
      </c>
      <c r="E86">
        <v>2</v>
      </c>
      <c r="F86" t="s">
        <v>33</v>
      </c>
      <c r="G86">
        <v>3</v>
      </c>
      <c r="H86" t="s">
        <v>25</v>
      </c>
      <c r="I86">
        <v>0</v>
      </c>
      <c r="J86">
        <v>51.5747456</v>
      </c>
      <c r="K86">
        <v>45.985250450000002</v>
      </c>
      <c r="L86">
        <v>0.215609521</v>
      </c>
      <c r="M86">
        <v>1</v>
      </c>
      <c r="N86">
        <v>0.59394618799999999</v>
      </c>
      <c r="AC86" t="str">
        <v>Q form</v>
      </c>
      <c r="AD86">
        <v>525.99999905575169</v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 spans="1:38" x14ac:dyDescent="0.3">
      <c r="A87" t="s">
        <v>46</v>
      </c>
      <c r="B87">
        <v>22</v>
      </c>
      <c r="C87" t="s">
        <v>19</v>
      </c>
      <c r="D87" t="s">
        <v>16</v>
      </c>
      <c r="E87">
        <v>2</v>
      </c>
      <c r="F87" t="s">
        <v>33</v>
      </c>
      <c r="G87">
        <v>3</v>
      </c>
      <c r="H87" t="s">
        <v>25</v>
      </c>
      <c r="I87">
        <v>0</v>
      </c>
      <c r="J87">
        <v>51.5747456</v>
      </c>
      <c r="K87">
        <v>51.909105320000002</v>
      </c>
      <c r="L87">
        <v>0.34402540399999998</v>
      </c>
      <c r="M87">
        <v>2</v>
      </c>
      <c r="N87">
        <v>0.33295037100000002</v>
      </c>
      <c r="AC87" t="str">
        <v>log|V|</v>
      </c>
      <c r="AD87">
        <v>1884.7628805155566</v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 spans="1:38" x14ac:dyDescent="0.3">
      <c r="A88" t="s">
        <v>46</v>
      </c>
      <c r="B88">
        <v>22</v>
      </c>
      <c r="C88" t="s">
        <v>20</v>
      </c>
      <c r="D88" t="s">
        <v>16</v>
      </c>
      <c r="E88">
        <v>2</v>
      </c>
      <c r="F88" t="s">
        <v>33</v>
      </c>
      <c r="G88">
        <v>3</v>
      </c>
      <c r="H88" t="s">
        <v>25</v>
      </c>
      <c r="I88">
        <v>0</v>
      </c>
      <c r="J88">
        <v>51.5747456</v>
      </c>
      <c r="K88">
        <v>41.507874579999999</v>
      </c>
      <c r="L88">
        <v>0.76052549000000003</v>
      </c>
      <c r="M88">
        <v>3</v>
      </c>
      <c r="N88">
        <v>1.063099837</v>
      </c>
      <c r="AC88" t="str">
        <v>log|X'V^-1X|</v>
      </c>
      <c r="AD88">
        <v>8.9636546840581381</v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 spans="1:38" x14ac:dyDescent="0.3">
      <c r="A89" t="s">
        <v>46</v>
      </c>
      <c r="B89">
        <v>22</v>
      </c>
      <c r="C89" t="s">
        <v>21</v>
      </c>
      <c r="D89" t="s">
        <v>16</v>
      </c>
      <c r="E89">
        <v>2</v>
      </c>
      <c r="F89" t="s">
        <v>33</v>
      </c>
      <c r="G89">
        <v>3</v>
      </c>
      <c r="H89" t="s">
        <v>25</v>
      </c>
      <c r="I89">
        <v>0</v>
      </c>
      <c r="J89">
        <v>51.5747456</v>
      </c>
      <c r="K89">
        <v>53.427273329999998</v>
      </c>
      <c r="L89">
        <v>0.50187571399999997</v>
      </c>
      <c r="M89">
        <v>4</v>
      </c>
      <c r="N89">
        <v>-0.30418392399999999</v>
      </c>
      <c r="AC89" t="str">
        <v>Profile scale Q/df</v>
      </c>
      <c r="AD89">
        <v>0.99999999820485108</v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 spans="1:38" x14ac:dyDescent="0.3">
      <c r="A90" t="s">
        <v>47</v>
      </c>
      <c r="B90">
        <v>23</v>
      </c>
      <c r="C90" t="s">
        <v>15</v>
      </c>
      <c r="D90" t="s">
        <v>23</v>
      </c>
      <c r="E90">
        <v>1</v>
      </c>
      <c r="F90" t="s">
        <v>17</v>
      </c>
      <c r="G90">
        <v>2</v>
      </c>
      <c r="H90" t="s">
        <v>18</v>
      </c>
      <c r="I90">
        <v>1</v>
      </c>
      <c r="J90">
        <v>29.925606080000001</v>
      </c>
      <c r="K90">
        <v>23.86859188</v>
      </c>
      <c r="L90">
        <v>0.74285810100000005</v>
      </c>
      <c r="M90">
        <v>1</v>
      </c>
      <c r="N90">
        <v>0.37001880999999998</v>
      </c>
      <c r="AC90" t="str">
        <v>KR derivative workspace</v>
      </c>
      <c r="AD90" t="str">
        <v>Available</v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 spans="1:38" x14ac:dyDescent="0.3">
      <c r="A91" t="s">
        <v>47</v>
      </c>
      <c r="B91">
        <v>23</v>
      </c>
      <c r="C91" t="s">
        <v>19</v>
      </c>
      <c r="D91" t="s">
        <v>23</v>
      </c>
      <c r="E91">
        <v>1</v>
      </c>
      <c r="F91" t="s">
        <v>17</v>
      </c>
      <c r="G91">
        <v>2</v>
      </c>
      <c r="H91" t="s">
        <v>18</v>
      </c>
      <c r="I91">
        <v>1</v>
      </c>
      <c r="J91">
        <v>29.925606080000001</v>
      </c>
      <c r="K91">
        <v>35.985632119999998</v>
      </c>
      <c r="L91">
        <v>0.14851198600000001</v>
      </c>
      <c r="M91">
        <v>2</v>
      </c>
      <c r="N91">
        <v>0.267098791</v>
      </c>
      <c r="AC91" t="str">
        <v>KR linear adjusted Var(beta)</v>
      </c>
      <c r="AD91" t="str">
        <v>Available</v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 spans="1:38" x14ac:dyDescent="0.3">
      <c r="A92" t="s">
        <v>47</v>
      </c>
      <c r="B92">
        <v>23</v>
      </c>
      <c r="C92" t="s">
        <v>20</v>
      </c>
      <c r="D92" t="s">
        <v>23</v>
      </c>
      <c r="E92">
        <v>1</v>
      </c>
      <c r="F92" t="s">
        <v>17</v>
      </c>
      <c r="G92">
        <v>2</v>
      </c>
      <c r="H92" t="s">
        <v>18</v>
      </c>
      <c r="I92">
        <v>1</v>
      </c>
      <c r="J92">
        <v>29.925606080000001</v>
      </c>
      <c r="K92">
        <v>43.606263939999998</v>
      </c>
      <c r="L92">
        <v>0.84236410900000003</v>
      </c>
      <c r="M92">
        <v>3</v>
      </c>
      <c r="N92">
        <v>-0.54252003100000001</v>
      </c>
      <c r="AC92" t="str">
        <v>KR backend status</v>
      </c>
      <c r="AD92" t="str">
        <v>Full KR adjusted Var(beta) computed on MmrmTheta parameter scale using P, Q, and R matrices.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 spans="1:38" x14ac:dyDescent="0.3">
      <c r="A93" t="s">
        <v>47</v>
      </c>
      <c r="B93">
        <v>23</v>
      </c>
      <c r="C93" t="s">
        <v>21</v>
      </c>
      <c r="D93" t="s">
        <v>23</v>
      </c>
      <c r="E93">
        <v>1</v>
      </c>
      <c r="F93" t="s">
        <v>17</v>
      </c>
      <c r="G93">
        <v>2</v>
      </c>
      <c r="H93" t="s">
        <v>18</v>
      </c>
      <c r="I93">
        <v>1</v>
      </c>
      <c r="J93">
        <v>29.925606080000001</v>
      </c>
      <c r="L93">
        <v>0.74654284100000001</v>
      </c>
      <c r="M93">
        <v>4</v>
      </c>
      <c r="N93">
        <v>1.2078678060000001</v>
      </c>
      <c r="AC93" t="str">
        <v>KR second derivatives</v>
      </c>
      <c r="AD93" t="str">
        <v>Available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 spans="1:38" x14ac:dyDescent="0.3">
      <c r="A94" t="s">
        <v>48</v>
      </c>
      <c r="B94">
        <v>24</v>
      </c>
      <c r="C94" t="s">
        <v>15</v>
      </c>
      <c r="D94" t="s">
        <v>16</v>
      </c>
      <c r="E94">
        <v>2</v>
      </c>
      <c r="F94" t="s">
        <v>33</v>
      </c>
      <c r="G94">
        <v>3</v>
      </c>
      <c r="H94" t="s">
        <v>18</v>
      </c>
      <c r="I94">
        <v>1</v>
      </c>
      <c r="J94">
        <v>39.073571250000001</v>
      </c>
      <c r="K94">
        <v>29.59773276</v>
      </c>
      <c r="L94">
        <v>0.16305067200000001</v>
      </c>
      <c r="M94">
        <v>1</v>
      </c>
      <c r="N94">
        <v>1.1604026160000001</v>
      </c>
      <c r="AC94" t="str">
        <v>KR parameter scale</v>
      </c>
      <c r="AD94" t="str">
        <v>MmrmTheta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 spans="1:38" x14ac:dyDescent="0.3">
      <c r="A95" t="s">
        <v>48</v>
      </c>
      <c r="B95">
        <v>24</v>
      </c>
      <c r="C95" t="s">
        <v>19</v>
      </c>
      <c r="D95" t="s">
        <v>16</v>
      </c>
      <c r="E95">
        <v>2</v>
      </c>
      <c r="F95" t="s">
        <v>33</v>
      </c>
      <c r="G95">
        <v>3</v>
      </c>
      <c r="H95" t="s">
        <v>18</v>
      </c>
      <c r="I95">
        <v>1</v>
      </c>
      <c r="J95">
        <v>39.073571250000001</v>
      </c>
      <c r="K95">
        <v>35.506880199999998</v>
      </c>
      <c r="L95">
        <v>0.58074262499999996</v>
      </c>
      <c r="M95">
        <v>2</v>
      </c>
      <c r="N95">
        <v>0.70021365000000002</v>
      </c>
      <c r="AC95" t="str">
        <v>REML information criteria are diagnostic and should not be used to compare models with different fixed-effects specifications.</v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 spans="1:38" x14ac:dyDescent="0.3">
      <c r="A96" t="s">
        <v>48</v>
      </c>
      <c r="B96">
        <v>24</v>
      </c>
      <c r="C96" t="s">
        <v>20</v>
      </c>
      <c r="D96" t="s">
        <v>16</v>
      </c>
      <c r="E96">
        <v>2</v>
      </c>
      <c r="F96" t="s">
        <v>33</v>
      </c>
      <c r="G96">
        <v>3</v>
      </c>
      <c r="H96" t="s">
        <v>18</v>
      </c>
      <c r="I96">
        <v>1</v>
      </c>
      <c r="J96">
        <v>39.073571250000001</v>
      </c>
      <c r="K96">
        <v>55.42944438</v>
      </c>
      <c r="L96">
        <v>0.67182390400000003</v>
      </c>
      <c r="M96">
        <v>3</v>
      </c>
      <c r="N96">
        <v>1.5868334550000001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 spans="1:38" x14ac:dyDescent="0.3">
      <c r="A97" t="s">
        <v>48</v>
      </c>
      <c r="B97">
        <v>24</v>
      </c>
      <c r="C97" t="s">
        <v>21</v>
      </c>
      <c r="D97" t="s">
        <v>16</v>
      </c>
      <c r="E97">
        <v>2</v>
      </c>
      <c r="F97" t="s">
        <v>33</v>
      </c>
      <c r="G97">
        <v>3</v>
      </c>
      <c r="H97" t="s">
        <v>18</v>
      </c>
      <c r="I97">
        <v>1</v>
      </c>
      <c r="J97">
        <v>39.073571250000001</v>
      </c>
      <c r="K97">
        <v>52.105298159999997</v>
      </c>
      <c r="L97">
        <v>0.51107652299999995</v>
      </c>
      <c r="M97">
        <v>4</v>
      </c>
      <c r="N97">
        <v>0.55848642599999998</v>
      </c>
      <c r="AC97" t="str">
        <v>Performance diagnostics</v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 spans="1:38" x14ac:dyDescent="0.3">
      <c r="A98" t="s">
        <v>49</v>
      </c>
      <c r="B98">
        <v>25</v>
      </c>
      <c r="C98" t="s">
        <v>15</v>
      </c>
      <c r="D98" t="s">
        <v>16</v>
      </c>
      <c r="E98">
        <v>2</v>
      </c>
      <c r="F98" t="s">
        <v>33</v>
      </c>
      <c r="G98">
        <v>3</v>
      </c>
      <c r="H98" t="s">
        <v>18</v>
      </c>
      <c r="I98">
        <v>1</v>
      </c>
      <c r="J98">
        <v>49.125423339999998</v>
      </c>
      <c r="K98">
        <v>31.696436890000001</v>
      </c>
      <c r="L98">
        <v>0.67609320399999995</v>
      </c>
      <c r="M98">
        <v>1</v>
      </c>
      <c r="N98">
        <v>-1.2765922080000001</v>
      </c>
      <c r="AC98" t="str">
        <v/>
      </c>
      <c r="AD98" t="str">
        <v>Value</v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 spans="1:38" x14ac:dyDescent="0.3">
      <c r="A99" t="s">
        <v>49</v>
      </c>
      <c r="B99">
        <v>25</v>
      </c>
      <c r="C99" t="s">
        <v>19</v>
      </c>
      <c r="D99" t="s">
        <v>16</v>
      </c>
      <c r="E99">
        <v>2</v>
      </c>
      <c r="F99" t="s">
        <v>33</v>
      </c>
      <c r="G99">
        <v>3</v>
      </c>
      <c r="H99" t="s">
        <v>18</v>
      </c>
      <c r="I99">
        <v>1</v>
      </c>
      <c r="J99">
        <v>49.125423339999998</v>
      </c>
      <c r="K99">
        <v>32.161593209999999</v>
      </c>
      <c r="L99">
        <v>0.69995701600000004</v>
      </c>
      <c r="M99">
        <v>2</v>
      </c>
      <c r="N99">
        <v>-0.57326541399999997</v>
      </c>
      <c r="AC99" t="str">
        <v>Total fit time ms</v>
      </c>
      <c r="AD99">
        <v>955.67619999999999</v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 spans="1:38" x14ac:dyDescent="0.3">
      <c r="A100" t="s">
        <v>49</v>
      </c>
      <c r="B100">
        <v>25</v>
      </c>
      <c r="C100" t="s">
        <v>20</v>
      </c>
      <c r="D100" t="s">
        <v>16</v>
      </c>
      <c r="E100">
        <v>2</v>
      </c>
      <c r="F100" t="s">
        <v>33</v>
      </c>
      <c r="G100">
        <v>3</v>
      </c>
      <c r="H100" t="s">
        <v>18</v>
      </c>
      <c r="I100">
        <v>1</v>
      </c>
      <c r="J100">
        <v>49.125423339999998</v>
      </c>
      <c r="K100">
        <v>51.047349619999999</v>
      </c>
      <c r="L100">
        <v>0.176512419</v>
      </c>
      <c r="M100">
        <v>3</v>
      </c>
      <c r="N100">
        <v>-1.2246126150000001</v>
      </c>
      <c r="AC100" t="str">
        <v>Starting values time ms</v>
      </c>
      <c r="AD100">
        <v>4.8834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 spans="1:38" x14ac:dyDescent="0.3">
      <c r="A101" t="s">
        <v>49</v>
      </c>
      <c r="B101">
        <v>25</v>
      </c>
      <c r="C101" t="s">
        <v>21</v>
      </c>
      <c r="D101" t="s">
        <v>16</v>
      </c>
      <c r="E101">
        <v>2</v>
      </c>
      <c r="F101" t="s">
        <v>33</v>
      </c>
      <c r="G101">
        <v>3</v>
      </c>
      <c r="H101" t="s">
        <v>18</v>
      </c>
      <c r="I101">
        <v>1</v>
      </c>
      <c r="J101">
        <v>49.125423339999998</v>
      </c>
      <c r="K101">
        <v>55.85986552</v>
      </c>
      <c r="L101">
        <v>0.41826069199999999</v>
      </c>
      <c r="M101">
        <v>4</v>
      </c>
      <c r="N101">
        <v>-0.47340063599999999</v>
      </c>
      <c r="AC101" t="str">
        <v>Optimization time ms</v>
      </c>
      <c r="AD101">
        <v>156.12620000000001</v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  <row r="102" spans="1:38" x14ac:dyDescent="0.3">
      <c r="A102" t="s">
        <v>50</v>
      </c>
      <c r="B102">
        <v>26</v>
      </c>
      <c r="C102" t="s">
        <v>15</v>
      </c>
      <c r="D102" t="s">
        <v>16</v>
      </c>
      <c r="E102">
        <v>2</v>
      </c>
      <c r="F102" t="s">
        <v>33</v>
      </c>
      <c r="G102">
        <v>3</v>
      </c>
      <c r="H102" t="s">
        <v>18</v>
      </c>
      <c r="I102">
        <v>1</v>
      </c>
      <c r="J102">
        <v>53.224143060000003</v>
      </c>
      <c r="K102">
        <v>49.117058069999999</v>
      </c>
      <c r="L102">
        <v>0.33557232199999998</v>
      </c>
      <c r="M102">
        <v>1</v>
      </c>
      <c r="N102">
        <v>-0.62036667700000003</v>
      </c>
      <c r="AC102" t="str">
        <v>Final evaluation time ms</v>
      </c>
      <c r="AD102">
        <v>1.5914000000000001</v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</row>
    <row r="103" spans="1:38" x14ac:dyDescent="0.3">
      <c r="A103" t="s">
        <v>50</v>
      </c>
      <c r="B103">
        <v>26</v>
      </c>
      <c r="C103" t="s">
        <v>19</v>
      </c>
      <c r="D103" t="s">
        <v>16</v>
      </c>
      <c r="E103">
        <v>2</v>
      </c>
      <c r="F103" t="s">
        <v>33</v>
      </c>
      <c r="G103">
        <v>3</v>
      </c>
      <c r="H103" t="s">
        <v>18</v>
      </c>
      <c r="I103">
        <v>1</v>
      </c>
      <c r="J103">
        <v>53.224143060000003</v>
      </c>
      <c r="K103">
        <v>49.255437209999997</v>
      </c>
      <c r="L103">
        <v>0.59380293200000001</v>
      </c>
      <c r="M103">
        <v>2</v>
      </c>
      <c r="N103">
        <v>4.2115872999999998E-2</v>
      </c>
      <c r="AC103" t="str">
        <v>KR workspace build time ms</v>
      </c>
      <c r="AD103">
        <v>748.0394</v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</row>
    <row r="104" spans="1:38" x14ac:dyDescent="0.3">
      <c r="A104" t="s">
        <v>50</v>
      </c>
      <c r="B104">
        <v>26</v>
      </c>
      <c r="C104" t="s">
        <v>20</v>
      </c>
      <c r="D104" t="s">
        <v>16</v>
      </c>
      <c r="E104">
        <v>2</v>
      </c>
      <c r="F104" t="s">
        <v>33</v>
      </c>
      <c r="G104">
        <v>3</v>
      </c>
      <c r="H104" t="s">
        <v>18</v>
      </c>
      <c r="I104">
        <v>1</v>
      </c>
      <c r="J104">
        <v>53.224143060000003</v>
      </c>
      <c r="K104">
        <v>51.722113700000001</v>
      </c>
      <c r="L104">
        <v>0.87941930199999996</v>
      </c>
      <c r="M104">
        <v>3</v>
      </c>
      <c r="N104">
        <v>-0.91092164900000006</v>
      </c>
      <c r="AC104" t="str">
        <v>KR derivative blocks time ms</v>
      </c>
      <c r="AD104">
        <v>329.4366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</row>
    <row r="105" spans="1:38" x14ac:dyDescent="0.3">
      <c r="A105" t="s">
        <v>50</v>
      </c>
      <c r="B105">
        <v>26</v>
      </c>
      <c r="C105" t="s">
        <v>21</v>
      </c>
      <c r="D105" t="s">
        <v>16</v>
      </c>
      <c r="E105">
        <v>2</v>
      </c>
      <c r="F105" t="s">
        <v>33</v>
      </c>
      <c r="G105">
        <v>3</v>
      </c>
      <c r="H105" t="s">
        <v>18</v>
      </c>
      <c r="I105">
        <v>1</v>
      </c>
      <c r="J105">
        <v>53.224143060000003</v>
      </c>
      <c r="K105">
        <v>69.99127713</v>
      </c>
      <c r="L105">
        <v>0.59456962999999996</v>
      </c>
      <c r="M105">
        <v>4</v>
      </c>
      <c r="N105">
        <v>0.15802877200000001</v>
      </c>
      <c r="AC105" t="str">
        <v>KR P/Q/R matrices time ms</v>
      </c>
      <c r="AD105">
        <v>69.568100000000001</v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</row>
    <row r="106" spans="1:38" x14ac:dyDescent="0.3">
      <c r="A106" t="s">
        <v>51</v>
      </c>
      <c r="B106">
        <v>27</v>
      </c>
      <c r="C106" t="s">
        <v>15</v>
      </c>
      <c r="D106" t="s">
        <v>16</v>
      </c>
      <c r="E106">
        <v>2</v>
      </c>
      <c r="F106" t="s">
        <v>17</v>
      </c>
      <c r="G106">
        <v>2</v>
      </c>
      <c r="H106" t="s">
        <v>18</v>
      </c>
      <c r="I106">
        <v>1</v>
      </c>
      <c r="J106">
        <v>45.795904440000001</v>
      </c>
      <c r="K106">
        <v>22.071687170000001</v>
      </c>
      <c r="L106">
        <v>0.51709535500000003</v>
      </c>
      <c r="M106">
        <v>1</v>
      </c>
      <c r="N106">
        <v>-0.65458464400000005</v>
      </c>
      <c r="AC106" t="str">
        <v>KR adjusted Var(beta) time ms</v>
      </c>
      <c r="AD106">
        <v>7.3584000000000005</v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</row>
    <row r="107" spans="1:38" x14ac:dyDescent="0.3">
      <c r="A107" t="s">
        <v>51</v>
      </c>
      <c r="B107">
        <v>27</v>
      </c>
      <c r="C107" t="s">
        <v>19</v>
      </c>
      <c r="D107" t="s">
        <v>16</v>
      </c>
      <c r="E107">
        <v>2</v>
      </c>
      <c r="F107" t="s">
        <v>17</v>
      </c>
      <c r="G107">
        <v>2</v>
      </c>
      <c r="H107" t="s">
        <v>18</v>
      </c>
      <c r="I107">
        <v>1</v>
      </c>
      <c r="J107">
        <v>45.795904440000001</v>
      </c>
      <c r="L107">
        <v>0.82200303699999999</v>
      </c>
      <c r="M107">
        <v>2</v>
      </c>
      <c r="N107">
        <v>1.7672872690000001</v>
      </c>
      <c r="AC107" t="str">
        <v>Result wrapping time ms</v>
      </c>
      <c r="AD107">
        <v>24.9527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</row>
    <row r="108" spans="1:38" x14ac:dyDescent="0.3">
      <c r="A108" t="s">
        <v>51</v>
      </c>
      <c r="B108">
        <v>27</v>
      </c>
      <c r="C108" t="s">
        <v>20</v>
      </c>
      <c r="D108" t="s">
        <v>16</v>
      </c>
      <c r="E108">
        <v>2</v>
      </c>
      <c r="F108" t="s">
        <v>17</v>
      </c>
      <c r="G108">
        <v>2</v>
      </c>
      <c r="H108" t="s">
        <v>18</v>
      </c>
      <c r="I108">
        <v>1</v>
      </c>
      <c r="J108">
        <v>45.795904440000001</v>
      </c>
      <c r="K108">
        <v>46.08392783</v>
      </c>
      <c r="L108">
        <v>0.60996354600000002</v>
      </c>
      <c r="M108">
        <v>3</v>
      </c>
      <c r="N108">
        <v>0.71670747599999995</v>
      </c>
      <c r="AC108" t="str">
        <v>Selected covariance optimizer mode</v>
      </c>
      <c r="AD108" t="str">
        <v>AverageInformationReml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</row>
    <row r="109" spans="1:38" x14ac:dyDescent="0.3">
      <c r="A109" t="s">
        <v>51</v>
      </c>
      <c r="B109">
        <v>27</v>
      </c>
      <c r="C109" t="s">
        <v>21</v>
      </c>
      <c r="D109" t="s">
        <v>16</v>
      </c>
      <c r="E109">
        <v>2</v>
      </c>
      <c r="F109" t="s">
        <v>17</v>
      </c>
      <c r="G109">
        <v>2</v>
      </c>
      <c r="H109" t="s">
        <v>18</v>
      </c>
      <c r="I109">
        <v>1</v>
      </c>
      <c r="J109">
        <v>45.795904440000001</v>
      </c>
      <c r="K109">
        <v>52.422880329999998</v>
      </c>
      <c r="L109">
        <v>0.79144090600000006</v>
      </c>
      <c r="M109">
        <v>4</v>
      </c>
      <c r="N109">
        <v>0.910174229</v>
      </c>
      <c r="AC109" t="str">
        <v>Actual covariance optimizer</v>
      </c>
      <c r="AD109" t="str">
        <v>Average Information REML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</row>
    <row r="110" spans="1:38" x14ac:dyDescent="0.3">
      <c r="A110" t="s">
        <v>52</v>
      </c>
      <c r="B110">
        <v>28</v>
      </c>
      <c r="C110" t="s">
        <v>15</v>
      </c>
      <c r="D110" t="s">
        <v>16</v>
      </c>
      <c r="E110">
        <v>2</v>
      </c>
      <c r="F110" t="s">
        <v>17</v>
      </c>
      <c r="G110">
        <v>2</v>
      </c>
      <c r="H110" t="s">
        <v>25</v>
      </c>
      <c r="I110">
        <v>0</v>
      </c>
      <c r="J110">
        <v>44.13734032</v>
      </c>
      <c r="K110">
        <v>37.694659799999997</v>
      </c>
      <c r="L110">
        <v>0.30089419299999998</v>
      </c>
      <c r="M110">
        <v>1</v>
      </c>
      <c r="N110">
        <v>0.38418535799999998</v>
      </c>
      <c r="AC110" t="str">
        <v>Selected covariance gradient mode</v>
      </c>
      <c r="AD110" t="str">
        <v>Auto</v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</row>
    <row r="111" spans="1:38" x14ac:dyDescent="0.3">
      <c r="A111" t="s">
        <v>52</v>
      </c>
      <c r="B111">
        <v>28</v>
      </c>
      <c r="C111" t="s">
        <v>19</v>
      </c>
      <c r="D111" t="s">
        <v>16</v>
      </c>
      <c r="E111">
        <v>2</v>
      </c>
      <c r="F111" t="s">
        <v>17</v>
      </c>
      <c r="G111">
        <v>2</v>
      </c>
      <c r="H111" t="s">
        <v>25</v>
      </c>
      <c r="I111">
        <v>0</v>
      </c>
      <c r="J111">
        <v>44.13734032</v>
      </c>
      <c r="K111">
        <v>44.593999240000002</v>
      </c>
      <c r="L111">
        <v>0.27205526499999999</v>
      </c>
      <c r="M111">
        <v>2</v>
      </c>
      <c r="N111">
        <v>1.6821760809999999</v>
      </c>
      <c r="AC111" t="str">
        <v>Average Information iterations</v>
      </c>
      <c r="AD111">
        <v>9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</row>
    <row r="112" spans="1:38" x14ac:dyDescent="0.3">
      <c r="A112" t="s">
        <v>52</v>
      </c>
      <c r="B112">
        <v>28</v>
      </c>
      <c r="C112" t="s">
        <v>20</v>
      </c>
      <c r="D112" t="s">
        <v>16</v>
      </c>
      <c r="E112">
        <v>2</v>
      </c>
      <c r="F112" t="s">
        <v>17</v>
      </c>
      <c r="G112">
        <v>2</v>
      </c>
      <c r="H112" t="s">
        <v>25</v>
      </c>
      <c r="I112">
        <v>0</v>
      </c>
      <c r="J112">
        <v>44.13734032</v>
      </c>
      <c r="K112">
        <v>52.088974360000002</v>
      </c>
      <c r="L112">
        <v>0.587580836</v>
      </c>
      <c r="M112">
        <v>3</v>
      </c>
      <c r="N112">
        <v>-0.63573645400000001</v>
      </c>
      <c r="AC112" t="str">
        <v>Average Information step halvings</v>
      </c>
      <c r="AD112">
        <v>1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</row>
    <row r="113" spans="1:38" x14ac:dyDescent="0.3">
      <c r="A113" t="s">
        <v>52</v>
      </c>
      <c r="B113">
        <v>28</v>
      </c>
      <c r="C113" t="s">
        <v>21</v>
      </c>
      <c r="D113" t="s">
        <v>16</v>
      </c>
      <c r="E113">
        <v>2</v>
      </c>
      <c r="F113" t="s">
        <v>17</v>
      </c>
      <c r="G113">
        <v>2</v>
      </c>
      <c r="H113" t="s">
        <v>25</v>
      </c>
      <c r="I113">
        <v>0</v>
      </c>
      <c r="J113">
        <v>44.13734032</v>
      </c>
      <c r="K113">
        <v>58.229606250000003</v>
      </c>
      <c r="L113">
        <v>0.40675570799999999</v>
      </c>
      <c r="M113">
        <v>4</v>
      </c>
      <c r="N113">
        <v>-0.46164473</v>
      </c>
      <c r="AC113" t="str">
        <v>Average Information ridge adjustments</v>
      </c>
      <c r="AD113">
        <v>0</v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</row>
    <row r="114" spans="1:38" x14ac:dyDescent="0.3">
      <c r="A114" t="s">
        <v>53</v>
      </c>
      <c r="B114">
        <v>29</v>
      </c>
      <c r="C114" t="s">
        <v>15</v>
      </c>
      <c r="D114" t="s">
        <v>16</v>
      </c>
      <c r="E114">
        <v>2</v>
      </c>
      <c r="F114" t="s">
        <v>17</v>
      </c>
      <c r="G114">
        <v>2</v>
      </c>
      <c r="H114" t="s">
        <v>25</v>
      </c>
      <c r="I114">
        <v>0</v>
      </c>
      <c r="J114">
        <v>31.2289396</v>
      </c>
      <c r="K114">
        <v>37.228241590000003</v>
      </c>
      <c r="L114">
        <v>0.70421683599999996</v>
      </c>
      <c r="M114">
        <v>1</v>
      </c>
      <c r="N114">
        <v>1.4322822390000001</v>
      </c>
      <c r="AC114" t="str">
        <v>Average Information matrix evaluations</v>
      </c>
      <c r="AD114">
        <v>9</v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</row>
    <row r="115" spans="1:38" x14ac:dyDescent="0.3">
      <c r="A115" t="s">
        <v>53</v>
      </c>
      <c r="B115">
        <v>29</v>
      </c>
      <c r="C115" t="s">
        <v>19</v>
      </c>
      <c r="D115" t="s">
        <v>16</v>
      </c>
      <c r="E115">
        <v>2</v>
      </c>
      <c r="F115" t="s">
        <v>17</v>
      </c>
      <c r="G115">
        <v>2</v>
      </c>
      <c r="H115" t="s">
        <v>25</v>
      </c>
      <c r="I115">
        <v>0</v>
      </c>
      <c r="J115">
        <v>31.2289396</v>
      </c>
      <c r="K115">
        <v>34.398627519999998</v>
      </c>
      <c r="L115">
        <v>0.40378899400000001</v>
      </c>
      <c r="M115">
        <v>2</v>
      </c>
      <c r="N115">
        <v>-0.65069635299999995</v>
      </c>
      <c r="AC115" t="str">
        <v>Average Information matrix time ms</v>
      </c>
      <c r="AD115">
        <v>123.90880000000003</v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</row>
    <row r="116" spans="1:38" x14ac:dyDescent="0.3">
      <c r="A116" t="s">
        <v>53</v>
      </c>
      <c r="B116">
        <v>29</v>
      </c>
      <c r="C116" t="s">
        <v>20</v>
      </c>
      <c r="D116" t="s">
        <v>16</v>
      </c>
      <c r="E116">
        <v>2</v>
      </c>
      <c r="F116" t="s">
        <v>17</v>
      </c>
      <c r="G116">
        <v>2</v>
      </c>
      <c r="H116" t="s">
        <v>25</v>
      </c>
      <c r="I116">
        <v>0</v>
      </c>
      <c r="J116">
        <v>31.2289396</v>
      </c>
      <c r="L116">
        <v>0.73597765100000001</v>
      </c>
      <c r="M116">
        <v>3</v>
      </c>
      <c r="N116">
        <v>-0.20738074400000001</v>
      </c>
      <c r="AC116" t="str">
        <v>Optimizer gradient provider</v>
      </c>
      <c r="AD116" t="str">
        <v>Average Information REML</v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</row>
    <row r="117" spans="1:38" x14ac:dyDescent="0.3">
      <c r="A117" t="s">
        <v>53</v>
      </c>
      <c r="B117">
        <v>29</v>
      </c>
      <c r="C117" t="s">
        <v>21</v>
      </c>
      <c r="D117" t="s">
        <v>16</v>
      </c>
      <c r="E117">
        <v>2</v>
      </c>
      <c r="F117" t="s">
        <v>17</v>
      </c>
      <c r="G117">
        <v>2</v>
      </c>
      <c r="H117" t="s">
        <v>25</v>
      </c>
      <c r="I117">
        <v>0</v>
      </c>
      <c r="J117">
        <v>31.2289396</v>
      </c>
      <c r="K117">
        <v>36.340121330000002</v>
      </c>
      <c r="L117">
        <v>0.824552909</v>
      </c>
      <c r="M117">
        <v>4</v>
      </c>
      <c r="N117">
        <v>-0.392807929</v>
      </c>
      <c r="AC117" t="str">
        <v>Actual covariance gradient provider</v>
      </c>
      <c r="AD117" t="str">
        <v>Analytic score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</row>
    <row r="118" spans="1:38" x14ac:dyDescent="0.3">
      <c r="A118" t="s">
        <v>54</v>
      </c>
      <c r="B118">
        <v>30</v>
      </c>
      <c r="C118" t="s">
        <v>15</v>
      </c>
      <c r="D118" t="s">
        <v>16</v>
      </c>
      <c r="E118">
        <v>2</v>
      </c>
      <c r="F118" t="s">
        <v>24</v>
      </c>
      <c r="G118">
        <v>1</v>
      </c>
      <c r="H118" t="s">
        <v>18</v>
      </c>
      <c r="I118">
        <v>1</v>
      </c>
      <c r="J118">
        <v>39.906338660000003</v>
      </c>
      <c r="K118">
        <v>45.441815910000003</v>
      </c>
      <c r="L118">
        <v>0.88722093899999999</v>
      </c>
      <c r="M118">
        <v>1</v>
      </c>
      <c r="N118">
        <v>-0.31999286900000001</v>
      </c>
      <c r="AC118" t="str">
        <v>Analytic gradient used</v>
      </c>
      <c r="AD118" t="b">
        <v>1</v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</row>
    <row r="119" spans="1:38" x14ac:dyDescent="0.3">
      <c r="A119" t="s">
        <v>54</v>
      </c>
      <c r="B119">
        <v>30</v>
      </c>
      <c r="C119" t="s">
        <v>19</v>
      </c>
      <c r="D119" t="s">
        <v>16</v>
      </c>
      <c r="E119">
        <v>2</v>
      </c>
      <c r="F119" t="s">
        <v>24</v>
      </c>
      <c r="G119">
        <v>1</v>
      </c>
      <c r="H119" t="s">
        <v>18</v>
      </c>
      <c r="I119">
        <v>1</v>
      </c>
      <c r="J119">
        <v>39.906338660000003</v>
      </c>
      <c r="K119">
        <v>41.548470139999999</v>
      </c>
      <c r="L119">
        <v>0.57035837899999997</v>
      </c>
      <c r="M119">
        <v>2</v>
      </c>
      <c r="N119">
        <v>-0.27911330299999998</v>
      </c>
      <c r="AC119" t="str">
        <v>Analytic gradient fallback used</v>
      </c>
      <c r="AD119" t="b">
        <v>0</v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</row>
    <row r="120" spans="1:38" x14ac:dyDescent="0.3">
      <c r="A120" t="s">
        <v>54</v>
      </c>
      <c r="B120">
        <v>30</v>
      </c>
      <c r="C120" t="s">
        <v>20</v>
      </c>
      <c r="D120" t="s">
        <v>16</v>
      </c>
      <c r="E120">
        <v>2</v>
      </c>
      <c r="F120" t="s">
        <v>24</v>
      </c>
      <c r="G120">
        <v>1</v>
      </c>
      <c r="H120" t="s">
        <v>18</v>
      </c>
      <c r="I120">
        <v>1</v>
      </c>
      <c r="J120">
        <v>39.906338660000003</v>
      </c>
      <c r="K120">
        <v>43.921722799999998</v>
      </c>
      <c r="L120">
        <v>0.107571241</v>
      </c>
      <c r="M120">
        <v>3</v>
      </c>
      <c r="N120">
        <v>0.49418833099999998</v>
      </c>
      <c r="AC120" t="str">
        <v>Analytic gradient validation evaluations</v>
      </c>
      <c r="AD120">
        <v>0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</row>
    <row r="121" spans="1:38" x14ac:dyDescent="0.3">
      <c r="A121" t="s">
        <v>54</v>
      </c>
      <c r="B121">
        <v>30</v>
      </c>
      <c r="C121" t="s">
        <v>21</v>
      </c>
      <c r="D121" t="s">
        <v>16</v>
      </c>
      <c r="E121">
        <v>2</v>
      </c>
      <c r="F121" t="s">
        <v>24</v>
      </c>
      <c r="G121">
        <v>1</v>
      </c>
      <c r="H121" t="s">
        <v>18</v>
      </c>
      <c r="I121">
        <v>1</v>
      </c>
      <c r="J121">
        <v>39.906338660000003</v>
      </c>
      <c r="K121">
        <v>61.83242869</v>
      </c>
      <c r="L121">
        <v>0.35663365499999999</v>
      </c>
      <c r="M121">
        <v>4</v>
      </c>
      <c r="N121">
        <v>-0.17733048200000001</v>
      </c>
      <c r="AC121" t="str">
        <v>Analytic gradient derivative-pattern cache enabled</v>
      </c>
      <c r="AD121" t="b">
        <v>0</v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</row>
    <row r="122" spans="1:38" x14ac:dyDescent="0.3">
      <c r="A122" t="s">
        <v>55</v>
      </c>
      <c r="B122">
        <v>31</v>
      </c>
      <c r="C122" t="s">
        <v>15</v>
      </c>
      <c r="D122" t="s">
        <v>23</v>
      </c>
      <c r="E122">
        <v>1</v>
      </c>
      <c r="F122" t="s">
        <v>24</v>
      </c>
      <c r="G122">
        <v>1</v>
      </c>
      <c r="H122" t="s">
        <v>18</v>
      </c>
      <c r="I122">
        <v>1</v>
      </c>
      <c r="J122">
        <v>51.851897729999997</v>
      </c>
      <c r="K122">
        <v>27.25655639</v>
      </c>
      <c r="L122">
        <v>0.54756538700000001</v>
      </c>
      <c r="M122">
        <v>1</v>
      </c>
      <c r="N122">
        <v>-0.50595746200000002</v>
      </c>
      <c r="AC122" t="str">
        <v>Analytic gradient derivative-pattern count</v>
      </c>
      <c r="AD122">
        <v>0</v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</row>
    <row r="123" spans="1:38" x14ac:dyDescent="0.3">
      <c r="A123" t="s">
        <v>55</v>
      </c>
      <c r="B123">
        <v>31</v>
      </c>
      <c r="C123" t="s">
        <v>19</v>
      </c>
      <c r="D123" t="s">
        <v>23</v>
      </c>
      <c r="E123">
        <v>1</v>
      </c>
      <c r="F123" t="s">
        <v>24</v>
      </c>
      <c r="G123">
        <v>1</v>
      </c>
      <c r="H123" t="s">
        <v>18</v>
      </c>
      <c r="I123">
        <v>1</v>
      </c>
      <c r="J123">
        <v>51.851897729999997</v>
      </c>
      <c r="L123">
        <v>0.51193404799999997</v>
      </c>
      <c r="M123">
        <v>2</v>
      </c>
      <c r="N123">
        <v>1.343038825</v>
      </c>
      <c r="AC123" t="str">
        <v>Analytic gradient derivative-pattern cache hits</v>
      </c>
      <c r="AD123">
        <v>0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</row>
    <row r="124" spans="1:38" x14ac:dyDescent="0.3">
      <c r="A124" t="s">
        <v>55</v>
      </c>
      <c r="B124">
        <v>31</v>
      </c>
      <c r="C124" t="s">
        <v>20</v>
      </c>
      <c r="D124" t="s">
        <v>23</v>
      </c>
      <c r="E124">
        <v>1</v>
      </c>
      <c r="F124" t="s">
        <v>24</v>
      </c>
      <c r="G124">
        <v>1</v>
      </c>
      <c r="H124" t="s">
        <v>18</v>
      </c>
      <c r="I124">
        <v>1</v>
      </c>
      <c r="J124">
        <v>51.851897729999997</v>
      </c>
      <c r="K124">
        <v>45.651332889999999</v>
      </c>
      <c r="L124">
        <v>0.17176949</v>
      </c>
      <c r="M124">
        <v>3</v>
      </c>
      <c r="N124">
        <v>-0.214579409</v>
      </c>
      <c r="AC124" t="str">
        <v>Analytic gradient derivative-pattern cache misses</v>
      </c>
      <c r="AD124">
        <v>0</v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</row>
    <row r="125" spans="1:38" x14ac:dyDescent="0.3">
      <c r="A125" t="s">
        <v>55</v>
      </c>
      <c r="B125">
        <v>31</v>
      </c>
      <c r="C125" t="s">
        <v>21</v>
      </c>
      <c r="D125" t="s">
        <v>23</v>
      </c>
      <c r="E125">
        <v>1</v>
      </c>
      <c r="F125" t="s">
        <v>24</v>
      </c>
      <c r="G125">
        <v>1</v>
      </c>
      <c r="H125" t="s">
        <v>18</v>
      </c>
      <c r="I125">
        <v>1</v>
      </c>
      <c r="J125">
        <v>51.851897729999997</v>
      </c>
      <c r="L125">
        <v>0.64660045899999996</v>
      </c>
      <c r="M125">
        <v>4</v>
      </c>
      <c r="N125">
        <v>-0.17955652999999999</v>
      </c>
      <c r="AC125" t="str">
        <v>Analytic gradient derivative matrices built</v>
      </c>
      <c r="AD125">
        <v>0</v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</row>
    <row r="126" spans="1:38" x14ac:dyDescent="0.3">
      <c r="A126" t="s">
        <v>56</v>
      </c>
      <c r="B126">
        <v>32</v>
      </c>
      <c r="C126" t="s">
        <v>15</v>
      </c>
      <c r="D126" t="s">
        <v>16</v>
      </c>
      <c r="E126">
        <v>2</v>
      </c>
      <c r="F126" t="s">
        <v>17</v>
      </c>
      <c r="G126">
        <v>2</v>
      </c>
      <c r="H126" t="s">
        <v>25</v>
      </c>
      <c r="I126">
        <v>0</v>
      </c>
      <c r="J126">
        <v>38.091867550000003</v>
      </c>
      <c r="K126">
        <v>33.193337659999997</v>
      </c>
      <c r="L126">
        <v>0.66797764000000004</v>
      </c>
      <c r="M126">
        <v>1</v>
      </c>
      <c r="N126">
        <v>-0.100190741</v>
      </c>
      <c r="AC126" t="str">
        <v>Analytic gradient trace/quadratic contraction time ms</v>
      </c>
      <c r="AD126" t="str">
        <v>Not recorded</v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</row>
    <row r="127" spans="1:38" x14ac:dyDescent="0.3">
      <c r="A127" t="s">
        <v>56</v>
      </c>
      <c r="B127">
        <v>32</v>
      </c>
      <c r="C127" t="s">
        <v>19</v>
      </c>
      <c r="D127" t="s">
        <v>16</v>
      </c>
      <c r="E127">
        <v>2</v>
      </c>
      <c r="F127" t="s">
        <v>17</v>
      </c>
      <c r="G127">
        <v>2</v>
      </c>
      <c r="H127" t="s">
        <v>25</v>
      </c>
      <c r="I127">
        <v>0</v>
      </c>
      <c r="J127">
        <v>38.091867550000003</v>
      </c>
      <c r="L127">
        <v>0.74018524299999999</v>
      </c>
      <c r="M127">
        <v>2</v>
      </c>
      <c r="N127">
        <v>0.712666307</v>
      </c>
      <c r="AC127" t="str">
        <v>Optimizer objective evaluations</v>
      </c>
      <c r="AD127">
        <v>29</v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</row>
    <row r="128" spans="1:38" x14ac:dyDescent="0.3">
      <c r="A128" t="s">
        <v>56</v>
      </c>
      <c r="B128">
        <v>32</v>
      </c>
      <c r="C128" t="s">
        <v>20</v>
      </c>
      <c r="D128" t="s">
        <v>16</v>
      </c>
      <c r="E128">
        <v>2</v>
      </c>
      <c r="F128" t="s">
        <v>17</v>
      </c>
      <c r="G128">
        <v>2</v>
      </c>
      <c r="H128" t="s">
        <v>25</v>
      </c>
      <c r="I128">
        <v>0</v>
      </c>
      <c r="J128">
        <v>38.091867550000003</v>
      </c>
      <c r="L128">
        <v>0.85526273200000003</v>
      </c>
      <c r="M128">
        <v>3</v>
      </c>
      <c r="N128">
        <v>-7.3564404E-2</v>
      </c>
      <c r="AC128" t="str">
        <v>Optimizer gradient evaluations</v>
      </c>
      <c r="AD128">
        <v>9</v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</row>
    <row r="129" spans="1:38" x14ac:dyDescent="0.3">
      <c r="A129" t="s">
        <v>56</v>
      </c>
      <c r="B129">
        <v>32</v>
      </c>
      <c r="C129" t="s">
        <v>21</v>
      </c>
      <c r="D129" t="s">
        <v>16</v>
      </c>
      <c r="E129">
        <v>2</v>
      </c>
      <c r="F129" t="s">
        <v>17</v>
      </c>
      <c r="G129">
        <v>2</v>
      </c>
      <c r="H129" t="s">
        <v>25</v>
      </c>
      <c r="I129">
        <v>0</v>
      </c>
      <c r="J129">
        <v>38.091867550000003</v>
      </c>
      <c r="K129">
        <v>41.66826434</v>
      </c>
      <c r="L129">
        <v>0.24931691</v>
      </c>
      <c r="M129">
        <v>4</v>
      </c>
      <c r="N129">
        <v>-3.7634171000000001E-2</v>
      </c>
      <c r="AC129" t="str">
        <v>Optimizer numerical-gradient objective evaluations</v>
      </c>
      <c r="AD129">
        <v>0</v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</row>
    <row r="130" spans="1:38" x14ac:dyDescent="0.3">
      <c r="A130" t="s">
        <v>57</v>
      </c>
      <c r="B130">
        <v>33</v>
      </c>
      <c r="C130" t="s">
        <v>15</v>
      </c>
      <c r="D130" t="s">
        <v>16</v>
      </c>
      <c r="E130">
        <v>2</v>
      </c>
      <c r="F130" t="s">
        <v>17</v>
      </c>
      <c r="G130">
        <v>2</v>
      </c>
      <c r="H130" t="s">
        <v>25</v>
      </c>
      <c r="I130">
        <v>0</v>
      </c>
      <c r="J130">
        <v>20.183215830000002</v>
      </c>
      <c r="K130">
        <v>27.127529339999999</v>
      </c>
      <c r="L130">
        <v>0.32291382600000001</v>
      </c>
      <c r="M130">
        <v>1</v>
      </c>
      <c r="N130">
        <v>-0.68166047900000004</v>
      </c>
      <c r="AC130" t="str">
        <v>Estimated numerical-gradient objective evaluations avoided</v>
      </c>
      <c r="AD130">
        <v>180</v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</row>
    <row r="131" spans="1:38" x14ac:dyDescent="0.3">
      <c r="A131" t="s">
        <v>57</v>
      </c>
      <c r="B131">
        <v>33</v>
      </c>
      <c r="C131" t="s">
        <v>19</v>
      </c>
      <c r="D131" t="s">
        <v>16</v>
      </c>
      <c r="E131">
        <v>2</v>
      </c>
      <c r="F131" t="s">
        <v>17</v>
      </c>
      <c r="G131">
        <v>2</v>
      </c>
      <c r="H131" t="s">
        <v>25</v>
      </c>
      <c r="I131">
        <v>0</v>
      </c>
      <c r="J131">
        <v>20.183215830000002</v>
      </c>
      <c r="K131">
        <v>31.748579280000001</v>
      </c>
      <c r="L131">
        <v>0.71941063100000002</v>
      </c>
      <c r="M131">
        <v>2</v>
      </c>
      <c r="N131">
        <v>-0.32427027200000003</v>
      </c>
      <c r="AC131" t="str">
        <v>Optimizer line-search evaluations</v>
      </c>
      <c r="AD131">
        <v>10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</row>
    <row r="132" spans="1:38" x14ac:dyDescent="0.3">
      <c r="A132" t="s">
        <v>57</v>
      </c>
      <c r="B132">
        <v>33</v>
      </c>
      <c r="C132" t="s">
        <v>20</v>
      </c>
      <c r="D132" t="s">
        <v>16</v>
      </c>
      <c r="E132">
        <v>2</v>
      </c>
      <c r="F132" t="s">
        <v>17</v>
      </c>
      <c r="G132">
        <v>2</v>
      </c>
      <c r="H132" t="s">
        <v>25</v>
      </c>
      <c r="I132">
        <v>0</v>
      </c>
      <c r="J132">
        <v>20.183215830000002</v>
      </c>
      <c r="L132">
        <v>0.12675809199999999</v>
      </c>
      <c r="M132">
        <v>3</v>
      </c>
      <c r="N132">
        <v>6.0160440000000003E-2</v>
      </c>
      <c r="AC132" t="str">
        <v>Optimizer BFGS resets</v>
      </c>
      <c r="AD132">
        <v>0</v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</row>
    <row r="133" spans="1:38" x14ac:dyDescent="0.3">
      <c r="A133" t="s">
        <v>57</v>
      </c>
      <c r="B133">
        <v>33</v>
      </c>
      <c r="C133" t="s">
        <v>21</v>
      </c>
      <c r="D133" t="s">
        <v>16</v>
      </c>
      <c r="E133">
        <v>2</v>
      </c>
      <c r="F133" t="s">
        <v>17</v>
      </c>
      <c r="G133">
        <v>2</v>
      </c>
      <c r="H133" t="s">
        <v>25</v>
      </c>
      <c r="I133">
        <v>0</v>
      </c>
      <c r="J133">
        <v>20.183215830000002</v>
      </c>
      <c r="K133">
        <v>41.600002279999998</v>
      </c>
      <c r="L133">
        <v>0.63753451299999997</v>
      </c>
      <c r="M133">
        <v>4</v>
      </c>
      <c r="N133">
        <v>-0.58889448600000005</v>
      </c>
      <c r="AC133" t="str">
        <v>Objective pattern cache enabled</v>
      </c>
      <c r="AD133" t="b">
        <v>1</v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</row>
    <row r="134" spans="1:38" x14ac:dyDescent="0.3">
      <c r="A134" t="s">
        <v>58</v>
      </c>
      <c r="B134">
        <v>34</v>
      </c>
      <c r="C134" t="s">
        <v>15</v>
      </c>
      <c r="D134" t="s">
        <v>23</v>
      </c>
      <c r="E134">
        <v>1</v>
      </c>
      <c r="F134" t="s">
        <v>24</v>
      </c>
      <c r="G134">
        <v>1</v>
      </c>
      <c r="H134" t="s">
        <v>18</v>
      </c>
      <c r="I134">
        <v>1</v>
      </c>
      <c r="J134">
        <v>49.270799770000004</v>
      </c>
      <c r="K134">
        <v>39.452503409999998</v>
      </c>
      <c r="L134">
        <v>0.75021369800000004</v>
      </c>
      <c r="M134">
        <v>1</v>
      </c>
      <c r="N134">
        <v>0.53149619299999995</v>
      </c>
      <c r="AC134" t="str">
        <v>Objective pattern cache evaluations</v>
      </c>
      <c r="AD134">
        <v>231</v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</row>
    <row r="135" spans="1:38" x14ac:dyDescent="0.3">
      <c r="A135" t="s">
        <v>58</v>
      </c>
      <c r="B135">
        <v>34</v>
      </c>
      <c r="C135" t="s">
        <v>19</v>
      </c>
      <c r="D135" t="s">
        <v>23</v>
      </c>
      <c r="E135">
        <v>1</v>
      </c>
      <c r="F135" t="s">
        <v>24</v>
      </c>
      <c r="G135">
        <v>1</v>
      </c>
      <c r="H135" t="s">
        <v>18</v>
      </c>
      <c r="I135">
        <v>1</v>
      </c>
      <c r="J135">
        <v>49.270799770000004</v>
      </c>
      <c r="K135">
        <v>32.618233959999998</v>
      </c>
      <c r="L135">
        <v>0.63052899100000004</v>
      </c>
      <c r="M135">
        <v>2</v>
      </c>
      <c r="N135">
        <v>-1.5183940819999999</v>
      </c>
      <c r="AC135" t="str">
        <v>Objective pattern cache pattern count</v>
      </c>
      <c r="AD135">
        <v>15</v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</row>
    <row r="136" spans="1:38" x14ac:dyDescent="0.3">
      <c r="A136" t="s">
        <v>58</v>
      </c>
      <c r="B136">
        <v>34</v>
      </c>
      <c r="C136" t="s">
        <v>20</v>
      </c>
      <c r="D136" t="s">
        <v>23</v>
      </c>
      <c r="E136">
        <v>1</v>
      </c>
      <c r="F136" t="s">
        <v>24</v>
      </c>
      <c r="G136">
        <v>1</v>
      </c>
      <c r="H136" t="s">
        <v>18</v>
      </c>
      <c r="I136">
        <v>1</v>
      </c>
      <c r="J136">
        <v>49.270799770000004</v>
      </c>
      <c r="K136">
        <v>34.624452439999999</v>
      </c>
      <c r="L136">
        <v>0.85557973799999998</v>
      </c>
      <c r="M136">
        <v>3</v>
      </c>
      <c r="N136">
        <v>0.30655786099999999</v>
      </c>
      <c r="AC136" t="str">
        <v>Objective pattern cache hits</v>
      </c>
      <c r="AD136">
        <v>42042</v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</row>
    <row r="137" spans="1:38" x14ac:dyDescent="0.3">
      <c r="A137" t="s">
        <v>58</v>
      </c>
      <c r="B137">
        <v>34</v>
      </c>
      <c r="C137" t="s">
        <v>21</v>
      </c>
      <c r="D137" t="s">
        <v>23</v>
      </c>
      <c r="E137">
        <v>1</v>
      </c>
      <c r="F137" t="s">
        <v>24</v>
      </c>
      <c r="G137">
        <v>1</v>
      </c>
      <c r="H137" t="s">
        <v>18</v>
      </c>
      <c r="I137">
        <v>1</v>
      </c>
      <c r="J137">
        <v>49.270799770000004</v>
      </c>
      <c r="K137">
        <v>45.905148259999997</v>
      </c>
      <c r="L137">
        <v>0.79987525400000004</v>
      </c>
      <c r="M137">
        <v>4</v>
      </c>
      <c r="N137">
        <v>-1.536449824</v>
      </c>
      <c r="AC137" t="str">
        <v>Objective pattern cache misses</v>
      </c>
      <c r="AD137">
        <v>3465</v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</row>
    <row r="138" spans="1:38" x14ac:dyDescent="0.3">
      <c r="A138" t="s">
        <v>59</v>
      </c>
      <c r="B138">
        <v>35</v>
      </c>
      <c r="C138" t="s">
        <v>15</v>
      </c>
      <c r="D138" t="s">
        <v>16</v>
      </c>
      <c r="E138">
        <v>2</v>
      </c>
      <c r="F138" t="s">
        <v>17</v>
      </c>
      <c r="G138">
        <v>2</v>
      </c>
      <c r="H138" t="s">
        <v>18</v>
      </c>
      <c r="I138">
        <v>1</v>
      </c>
      <c r="J138">
        <v>55.987010239999996</v>
      </c>
      <c r="K138">
        <v>36.177803220000001</v>
      </c>
      <c r="L138">
        <v>0.65789695800000003</v>
      </c>
      <c r="M138">
        <v>1</v>
      </c>
      <c r="N138">
        <v>-0.30097612699999998</v>
      </c>
      <c r="AC138" t="str">
        <v>Objective pattern cache invalid builds</v>
      </c>
      <c r="AD138">
        <v>0</v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</row>
    <row r="139" spans="1:38" x14ac:dyDescent="0.3">
      <c r="A139" t="s">
        <v>59</v>
      </c>
      <c r="B139">
        <v>35</v>
      </c>
      <c r="C139" t="s">
        <v>19</v>
      </c>
      <c r="D139" t="s">
        <v>16</v>
      </c>
      <c r="E139">
        <v>2</v>
      </c>
      <c r="F139" t="s">
        <v>17</v>
      </c>
      <c r="G139">
        <v>2</v>
      </c>
      <c r="H139" t="s">
        <v>18</v>
      </c>
      <c r="I139">
        <v>1</v>
      </c>
      <c r="J139">
        <v>55.987010239999996</v>
      </c>
      <c r="K139">
        <v>39.797955819999999</v>
      </c>
      <c r="L139">
        <v>0.24803271299999999</v>
      </c>
      <c r="M139">
        <v>2</v>
      </c>
      <c r="N139">
        <v>-0.52827990400000002</v>
      </c>
      <c r="AC139" t="str">
        <v>KR P/Q/R design-pattern cache enabled</v>
      </c>
      <c r="AD139" t="b">
        <v>1</v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</row>
    <row r="140" spans="1:38" x14ac:dyDescent="0.3">
      <c r="A140" t="s">
        <v>59</v>
      </c>
      <c r="B140">
        <v>35</v>
      </c>
      <c r="C140" t="s">
        <v>20</v>
      </c>
      <c r="D140" t="s">
        <v>16</v>
      </c>
      <c r="E140">
        <v>2</v>
      </c>
      <c r="F140" t="s">
        <v>17</v>
      </c>
      <c r="G140">
        <v>2</v>
      </c>
      <c r="H140" t="s">
        <v>18</v>
      </c>
      <c r="I140">
        <v>1</v>
      </c>
      <c r="J140">
        <v>55.987010239999996</v>
      </c>
      <c r="L140">
        <v>0.17803544800000001</v>
      </c>
      <c r="M140">
        <v>3</v>
      </c>
      <c r="N140">
        <v>-0.65209478099999996</v>
      </c>
      <c r="AC140" t="str">
        <v>KR P/Q/R design-pattern block count</v>
      </c>
      <c r="AD140">
        <v>197</v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</row>
    <row r="141" spans="1:38" x14ac:dyDescent="0.3">
      <c r="A141" t="s">
        <v>59</v>
      </c>
      <c r="B141">
        <v>35</v>
      </c>
      <c r="C141" t="s">
        <v>21</v>
      </c>
      <c r="D141" t="s">
        <v>16</v>
      </c>
      <c r="E141">
        <v>2</v>
      </c>
      <c r="F141" t="s">
        <v>17</v>
      </c>
      <c r="G141">
        <v>2</v>
      </c>
      <c r="H141" t="s">
        <v>18</v>
      </c>
      <c r="I141">
        <v>1</v>
      </c>
      <c r="J141">
        <v>55.987010239999996</v>
      </c>
      <c r="K141">
        <v>50.082717240000001</v>
      </c>
      <c r="L141">
        <v>0.74620799299999996</v>
      </c>
      <c r="M141">
        <v>4</v>
      </c>
      <c r="N141">
        <v>-5.6896778000000002E-2</v>
      </c>
      <c r="AC141" t="str">
        <v>KR P/Q/R design-pattern count</v>
      </c>
      <c r="AD141">
        <v>107</v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</row>
    <row r="142" spans="1:38" x14ac:dyDescent="0.3">
      <c r="A142" t="s">
        <v>60</v>
      </c>
      <c r="B142">
        <v>36</v>
      </c>
      <c r="C142" t="s">
        <v>15</v>
      </c>
      <c r="D142" t="s">
        <v>16</v>
      </c>
      <c r="E142">
        <v>2</v>
      </c>
      <c r="F142" t="s">
        <v>24</v>
      </c>
      <c r="G142">
        <v>1</v>
      </c>
      <c r="H142" t="s">
        <v>18</v>
      </c>
      <c r="I142">
        <v>1</v>
      </c>
      <c r="J142">
        <v>22.720081409999999</v>
      </c>
      <c r="L142">
        <v>0.51742210799999999</v>
      </c>
      <c r="M142">
        <v>1</v>
      </c>
      <c r="N142">
        <v>-1.9143594260000001</v>
      </c>
      <c r="AC142" t="str">
        <v>KR P/Q/R design-pattern hits</v>
      </c>
      <c r="AD142">
        <v>90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</row>
    <row r="143" spans="1:38" x14ac:dyDescent="0.3">
      <c r="A143" t="s">
        <v>60</v>
      </c>
      <c r="B143">
        <v>36</v>
      </c>
      <c r="C143" t="s">
        <v>19</v>
      </c>
      <c r="D143" t="s">
        <v>16</v>
      </c>
      <c r="E143">
        <v>2</v>
      </c>
      <c r="F143" t="s">
        <v>24</v>
      </c>
      <c r="G143">
        <v>1</v>
      </c>
      <c r="H143" t="s">
        <v>18</v>
      </c>
      <c r="I143">
        <v>1</v>
      </c>
      <c r="J143">
        <v>22.720081409999999</v>
      </c>
      <c r="K143">
        <v>44.64315775</v>
      </c>
      <c r="L143">
        <v>0.65483254099999999</v>
      </c>
      <c r="M143">
        <v>2</v>
      </c>
      <c r="N143">
        <v>1.176583312</v>
      </c>
      <c r="AC143" t="str">
        <v>KR P/Q/R design-pattern misses</v>
      </c>
      <c r="AD143">
        <v>107</v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</row>
    <row r="144" spans="1:38" x14ac:dyDescent="0.3">
      <c r="A144" t="s">
        <v>60</v>
      </c>
      <c r="B144">
        <v>36</v>
      </c>
      <c r="C144" t="s">
        <v>20</v>
      </c>
      <c r="D144" t="s">
        <v>16</v>
      </c>
      <c r="E144">
        <v>2</v>
      </c>
      <c r="F144" t="s">
        <v>24</v>
      </c>
      <c r="G144">
        <v>1</v>
      </c>
      <c r="H144" t="s">
        <v>18</v>
      </c>
      <c r="I144">
        <v>1</v>
      </c>
      <c r="J144">
        <v>22.720081409999999</v>
      </c>
      <c r="L144">
        <v>0.27306367100000001</v>
      </c>
      <c r="M144">
        <v>3</v>
      </c>
      <c r="N144">
        <v>-1.664972436</v>
      </c>
      <c r="AC144" t="str">
        <v>KR P/Q/R design-pattern incompatible key collisions</v>
      </c>
      <c r="AD144">
        <v>0</v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</row>
    <row r="145" spans="1:38" x14ac:dyDescent="0.3">
      <c r="A145" t="s">
        <v>60</v>
      </c>
      <c r="B145">
        <v>36</v>
      </c>
      <c r="C145" t="s">
        <v>21</v>
      </c>
      <c r="D145" t="s">
        <v>16</v>
      </c>
      <c r="E145">
        <v>2</v>
      </c>
      <c r="F145" t="s">
        <v>24</v>
      </c>
      <c r="G145">
        <v>1</v>
      </c>
      <c r="H145" t="s">
        <v>18</v>
      </c>
      <c r="I145">
        <v>1</v>
      </c>
      <c r="J145">
        <v>22.720081409999999</v>
      </c>
      <c r="K145">
        <v>39.735287880000001</v>
      </c>
      <c r="L145">
        <v>0.60395429700000003</v>
      </c>
      <c r="M145">
        <v>4</v>
      </c>
      <c r="N145">
        <v>-0.46353040099999998</v>
      </c>
      <c r="AC145" t="str">
        <v>KR P/Q/R design-pattern invalid builds</v>
      </c>
      <c r="AD145">
        <v>0</v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</row>
    <row r="146" spans="1:38" x14ac:dyDescent="0.3">
      <c r="A146" t="s">
        <v>61</v>
      </c>
      <c r="B146">
        <v>37</v>
      </c>
      <c r="C146" t="s">
        <v>15</v>
      </c>
      <c r="D146" t="s">
        <v>23</v>
      </c>
      <c r="E146">
        <v>1</v>
      </c>
      <c r="F146" t="s">
        <v>33</v>
      </c>
      <c r="G146">
        <v>3</v>
      </c>
      <c r="H146" t="s">
        <v>18</v>
      </c>
      <c r="I146">
        <v>1</v>
      </c>
      <c r="J146">
        <v>28.610500460000001</v>
      </c>
      <c r="K146">
        <v>34.06164253</v>
      </c>
      <c r="L146">
        <v>0.217606302</v>
      </c>
      <c r="M146">
        <v>1</v>
      </c>
      <c r="N146">
        <v>-1.1159201050000001</v>
      </c>
      <c r="AC146" t="str">
        <v>KR P/Q/R half-pair optimization enabled</v>
      </c>
      <c r="AD146" t="b">
        <v>1</v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</row>
    <row r="147" spans="1:38" x14ac:dyDescent="0.3">
      <c r="A147" t="s">
        <v>61</v>
      </c>
      <c r="B147">
        <v>37</v>
      </c>
      <c r="C147" t="s">
        <v>19</v>
      </c>
      <c r="D147" t="s">
        <v>23</v>
      </c>
      <c r="E147">
        <v>1</v>
      </c>
      <c r="F147" t="s">
        <v>33</v>
      </c>
      <c r="G147">
        <v>3</v>
      </c>
      <c r="H147" t="s">
        <v>18</v>
      </c>
      <c r="I147">
        <v>1</v>
      </c>
      <c r="J147">
        <v>28.610500460000001</v>
      </c>
      <c r="K147">
        <v>40.185923510000002</v>
      </c>
      <c r="L147">
        <v>0.86725636699999997</v>
      </c>
      <c r="M147">
        <v>2</v>
      </c>
      <c r="N147">
        <v>-0.75081900099999999</v>
      </c>
      <c r="AC147" t="str">
        <v>KR P/Q/R fast factorization enabled</v>
      </c>
      <c r="AD147" t="b">
        <v>1</v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</row>
    <row r="148" spans="1:38" x14ac:dyDescent="0.3">
      <c r="A148" t="s">
        <v>61</v>
      </c>
      <c r="B148">
        <v>37</v>
      </c>
      <c r="C148" t="s">
        <v>20</v>
      </c>
      <c r="D148" t="s">
        <v>23</v>
      </c>
      <c r="E148">
        <v>1</v>
      </c>
      <c r="F148" t="s">
        <v>33</v>
      </c>
      <c r="G148">
        <v>3</v>
      </c>
      <c r="H148" t="s">
        <v>18</v>
      </c>
      <c r="I148">
        <v>1</v>
      </c>
      <c r="J148">
        <v>28.610500460000001</v>
      </c>
      <c r="K148">
        <v>41.175841550000001</v>
      </c>
      <c r="L148">
        <v>0.892088357</v>
      </c>
      <c r="M148">
        <v>3</v>
      </c>
      <c r="N148">
        <v>2.0871665460000002</v>
      </c>
      <c r="AC148" t="str">
        <v>KR P/Q/R allocation-reduced aggregation enabled</v>
      </c>
      <c r="AD148" t="b">
        <v>1</v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</row>
    <row r="149" spans="1:38" x14ac:dyDescent="0.3">
      <c r="A149" t="s">
        <v>61</v>
      </c>
      <c r="B149">
        <v>37</v>
      </c>
      <c r="C149" t="s">
        <v>21</v>
      </c>
      <c r="D149" t="s">
        <v>23</v>
      </c>
      <c r="E149">
        <v>1</v>
      </c>
      <c r="F149" t="s">
        <v>33</v>
      </c>
      <c r="G149">
        <v>3</v>
      </c>
      <c r="H149" t="s">
        <v>18</v>
      </c>
      <c r="I149">
        <v>1</v>
      </c>
      <c r="J149">
        <v>28.610500460000001</v>
      </c>
      <c r="K149">
        <v>57.766693930000002</v>
      </c>
      <c r="L149">
        <v>0.497151446</v>
      </c>
      <c r="M149">
        <v>4</v>
      </c>
      <c r="N149">
        <v>1.7395620000000001E-2</v>
      </c>
      <c r="AC149" t="str">
        <v>KR P/Q/R parameter count</v>
      </c>
      <c r="AD149">
        <v>10</v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</row>
    <row r="150" spans="1:38" x14ac:dyDescent="0.3">
      <c r="A150" t="s">
        <v>62</v>
      </c>
      <c r="B150">
        <v>38</v>
      </c>
      <c r="C150" t="s">
        <v>15</v>
      </c>
      <c r="D150" t="s">
        <v>23</v>
      </c>
      <c r="E150">
        <v>1</v>
      </c>
      <c r="F150" t="s">
        <v>24</v>
      </c>
      <c r="G150">
        <v>1</v>
      </c>
      <c r="H150" t="s">
        <v>18</v>
      </c>
      <c r="I150">
        <v>1</v>
      </c>
      <c r="J150">
        <v>59.302696140000002</v>
      </c>
      <c r="K150">
        <v>38.184602640000001</v>
      </c>
      <c r="L150">
        <v>0.83571811500000004</v>
      </c>
      <c r="M150">
        <v>1</v>
      </c>
      <c r="N150">
        <v>-1.2863005300000001</v>
      </c>
      <c r="AC150" t="str">
        <v>KR pair matrices computed</v>
      </c>
      <c r="AD150">
        <v>11770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</row>
    <row r="151" spans="1:38" x14ac:dyDescent="0.3">
      <c r="A151" t="s">
        <v>62</v>
      </c>
      <c r="B151">
        <v>38</v>
      </c>
      <c r="C151" t="s">
        <v>19</v>
      </c>
      <c r="D151" t="s">
        <v>23</v>
      </c>
      <c r="E151">
        <v>1</v>
      </c>
      <c r="F151" t="s">
        <v>24</v>
      </c>
      <c r="G151">
        <v>1</v>
      </c>
      <c r="H151" t="s">
        <v>18</v>
      </c>
      <c r="I151">
        <v>1</v>
      </c>
      <c r="J151">
        <v>59.302696140000002</v>
      </c>
      <c r="L151">
        <v>0.39770411300000003</v>
      </c>
      <c r="M151">
        <v>2</v>
      </c>
      <c r="N151">
        <v>-1.6406055340000001</v>
      </c>
      <c r="AC151" t="str">
        <v>KR pair matrices filled by symmetry</v>
      </c>
      <c r="AD151">
        <v>9630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</row>
    <row r="152" spans="1:38" x14ac:dyDescent="0.3">
      <c r="A152" t="s">
        <v>62</v>
      </c>
      <c r="B152">
        <v>38</v>
      </c>
      <c r="C152" t="s">
        <v>20</v>
      </c>
      <c r="D152" t="s">
        <v>23</v>
      </c>
      <c r="E152">
        <v>1</v>
      </c>
      <c r="F152" t="s">
        <v>24</v>
      </c>
      <c r="G152">
        <v>1</v>
      </c>
      <c r="H152" t="s">
        <v>18</v>
      </c>
      <c r="I152">
        <v>1</v>
      </c>
      <c r="J152">
        <v>59.302696140000002</v>
      </c>
      <c r="K152">
        <v>47.198925600000003</v>
      </c>
      <c r="L152">
        <v>0.76164595700000004</v>
      </c>
      <c r="M152">
        <v>3</v>
      </c>
      <c r="N152">
        <v>0.45018710099999998</v>
      </c>
      <c r="AC152" t="str">
        <v>KR Q pair matrices computed</v>
      </c>
      <c r="AD152">
        <v>5885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</row>
    <row r="153" spans="1:38" x14ac:dyDescent="0.3">
      <c r="A153" t="s">
        <v>62</v>
      </c>
      <c r="B153">
        <v>38</v>
      </c>
      <c r="C153" t="s">
        <v>21</v>
      </c>
      <c r="D153" t="s">
        <v>23</v>
      </c>
      <c r="E153">
        <v>1</v>
      </c>
      <c r="F153" t="s">
        <v>24</v>
      </c>
      <c r="G153">
        <v>1</v>
      </c>
      <c r="H153" t="s">
        <v>18</v>
      </c>
      <c r="I153">
        <v>1</v>
      </c>
      <c r="J153">
        <v>59.302696140000002</v>
      </c>
      <c r="L153">
        <v>0.54723435799999998</v>
      </c>
      <c r="M153">
        <v>4</v>
      </c>
      <c r="N153">
        <v>-1.8559833000000001E-2</v>
      </c>
      <c r="AC153" t="str">
        <v>KR Q pair matrices filled by symmetry</v>
      </c>
      <c r="AD153">
        <v>4815</v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</row>
    <row r="154" spans="1:38" x14ac:dyDescent="0.3">
      <c r="A154" t="s">
        <v>63</v>
      </c>
      <c r="B154">
        <v>39</v>
      </c>
      <c r="C154" t="s">
        <v>15</v>
      </c>
      <c r="D154" t="s">
        <v>23</v>
      </c>
      <c r="E154">
        <v>1</v>
      </c>
      <c r="F154" t="s">
        <v>24</v>
      </c>
      <c r="G154">
        <v>1</v>
      </c>
      <c r="H154" t="s">
        <v>18</v>
      </c>
      <c r="I154">
        <v>1</v>
      </c>
      <c r="J154">
        <v>30.074932570000001</v>
      </c>
      <c r="K154">
        <v>37.327851510000002</v>
      </c>
      <c r="L154">
        <v>0.73653696400000002</v>
      </c>
      <c r="M154">
        <v>1</v>
      </c>
      <c r="N154">
        <v>-0.31806837500000001</v>
      </c>
      <c r="AC154" t="str">
        <v>KR R pair matrices computed</v>
      </c>
      <c r="AD154">
        <v>5885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</row>
    <row r="155" spans="1:38" x14ac:dyDescent="0.3">
      <c r="A155" t="s">
        <v>63</v>
      </c>
      <c r="B155">
        <v>39</v>
      </c>
      <c r="C155" t="s">
        <v>19</v>
      </c>
      <c r="D155" t="s">
        <v>23</v>
      </c>
      <c r="E155">
        <v>1</v>
      </c>
      <c r="F155" t="s">
        <v>24</v>
      </c>
      <c r="G155">
        <v>1</v>
      </c>
      <c r="H155" t="s">
        <v>18</v>
      </c>
      <c r="I155">
        <v>1</v>
      </c>
      <c r="J155">
        <v>30.074932570000001</v>
      </c>
      <c r="L155">
        <v>0.381617396</v>
      </c>
      <c r="M155">
        <v>2</v>
      </c>
      <c r="N155">
        <v>-0.92936214699999997</v>
      </c>
      <c r="AC155" t="str">
        <v>KR R pair matrices filled by symmetry</v>
      </c>
      <c r="AD155">
        <v>4815</v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</row>
    <row r="156" spans="1:38" x14ac:dyDescent="0.3">
      <c r="A156" t="s">
        <v>63</v>
      </c>
      <c r="B156">
        <v>39</v>
      </c>
      <c r="C156" t="s">
        <v>20</v>
      </c>
      <c r="D156" t="s">
        <v>23</v>
      </c>
      <c r="E156">
        <v>1</v>
      </c>
      <c r="F156" t="s">
        <v>24</v>
      </c>
      <c r="G156">
        <v>1</v>
      </c>
      <c r="H156" t="s">
        <v>18</v>
      </c>
      <c r="I156">
        <v>1</v>
      </c>
      <c r="J156">
        <v>30.074932570000001</v>
      </c>
      <c r="K156">
        <v>43.160483730000003</v>
      </c>
      <c r="L156">
        <v>0.26682213799999999</v>
      </c>
      <c r="M156">
        <v>3</v>
      </c>
      <c r="N156">
        <v>-1.4874603099999999</v>
      </c>
      <c r="AC156" t="str">
        <v>Timings are wall-clock diagnostics for the current fit and may vary by machine/load. They do not affect statistical estimates.</v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</row>
    <row r="157" spans="1:38" x14ac:dyDescent="0.3">
      <c r="A157" t="s">
        <v>63</v>
      </c>
      <c r="B157">
        <v>39</v>
      </c>
      <c r="C157" t="s">
        <v>21</v>
      </c>
      <c r="D157" t="s">
        <v>23</v>
      </c>
      <c r="E157">
        <v>1</v>
      </c>
      <c r="F157" t="s">
        <v>24</v>
      </c>
      <c r="G157">
        <v>1</v>
      </c>
      <c r="H157" t="s">
        <v>18</v>
      </c>
      <c r="I157">
        <v>1</v>
      </c>
      <c r="J157">
        <v>30.074932570000001</v>
      </c>
      <c r="K157">
        <v>41.40348882</v>
      </c>
      <c r="L157">
        <v>0.72782449900000001</v>
      </c>
      <c r="M157">
        <v>4</v>
      </c>
      <c r="N157">
        <v>-1.0751922970000001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</row>
    <row r="158" spans="1:38" x14ac:dyDescent="0.3">
      <c r="A158" t="s">
        <v>64</v>
      </c>
      <c r="B158">
        <v>40</v>
      </c>
      <c r="C158" t="s">
        <v>15</v>
      </c>
      <c r="D158" t="s">
        <v>23</v>
      </c>
      <c r="E158">
        <v>1</v>
      </c>
      <c r="F158" t="s">
        <v>17</v>
      </c>
      <c r="G158">
        <v>2</v>
      </c>
      <c r="H158" t="s">
        <v>25</v>
      </c>
      <c r="I158">
        <v>0</v>
      </c>
      <c r="J158">
        <v>47.973963439999999</v>
      </c>
      <c r="K158">
        <v>30.157325270000001</v>
      </c>
      <c r="L158">
        <v>0.64644100100000002</v>
      </c>
      <c r="M158">
        <v>1</v>
      </c>
      <c r="N158">
        <v>1.000028804</v>
      </c>
      <c r="AC158" t="str">
        <v>MMRM support diagnostics</v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</row>
    <row r="159" spans="1:38" x14ac:dyDescent="0.3">
      <c r="A159" t="s">
        <v>64</v>
      </c>
      <c r="B159">
        <v>40</v>
      </c>
      <c r="C159" t="s">
        <v>19</v>
      </c>
      <c r="D159" t="s">
        <v>23</v>
      </c>
      <c r="E159">
        <v>1</v>
      </c>
      <c r="F159" t="s">
        <v>17</v>
      </c>
      <c r="G159">
        <v>2</v>
      </c>
      <c r="H159" t="s">
        <v>25</v>
      </c>
      <c r="I159">
        <v>0</v>
      </c>
      <c r="J159">
        <v>47.973963439999999</v>
      </c>
      <c r="K159">
        <v>35.843527160000001</v>
      </c>
      <c r="L159">
        <v>0.44560881099999999</v>
      </c>
      <c r="M159">
        <v>2</v>
      </c>
      <c r="N159">
        <v>-0.62126669499999998</v>
      </c>
      <c r="AC159" t="str">
        <v/>
      </c>
      <c r="AD159" t="str">
        <v>Value</v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</row>
    <row r="160" spans="1:38" x14ac:dyDescent="0.3">
      <c r="A160" t="s">
        <v>64</v>
      </c>
      <c r="B160">
        <v>40</v>
      </c>
      <c r="C160" t="s">
        <v>20</v>
      </c>
      <c r="D160" t="s">
        <v>23</v>
      </c>
      <c r="E160">
        <v>1</v>
      </c>
      <c r="F160" t="s">
        <v>17</v>
      </c>
      <c r="G160">
        <v>2</v>
      </c>
      <c r="H160" t="s">
        <v>25</v>
      </c>
      <c r="I160">
        <v>0</v>
      </c>
      <c r="J160">
        <v>47.973963439999999</v>
      </c>
      <c r="K160">
        <v>40.952495069999998</v>
      </c>
      <c r="L160">
        <v>0.77714718999999999</v>
      </c>
      <c r="M160">
        <v>3</v>
      </c>
      <c r="N160">
        <v>-1.3844268470000001</v>
      </c>
      <c r="AC160" t="str">
        <v>Covariance structure</v>
      </c>
      <c r="AD160" t="str">
        <v>Unstructured</v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</row>
    <row r="161" spans="1:38" x14ac:dyDescent="0.3">
      <c r="A161" t="s">
        <v>64</v>
      </c>
      <c r="B161">
        <v>40</v>
      </c>
      <c r="C161" t="s">
        <v>21</v>
      </c>
      <c r="D161" t="s">
        <v>23</v>
      </c>
      <c r="E161">
        <v>1</v>
      </c>
      <c r="F161" t="s">
        <v>17</v>
      </c>
      <c r="G161">
        <v>2</v>
      </c>
      <c r="H161" t="s">
        <v>25</v>
      </c>
      <c r="I161">
        <v>0</v>
      </c>
      <c r="J161">
        <v>47.973963439999999</v>
      </c>
      <c r="L161">
        <v>0.58155507100000003</v>
      </c>
      <c r="M161">
        <v>4</v>
      </c>
      <c r="N161">
        <v>1.8692906220000001</v>
      </c>
      <c r="AC161" t="str">
        <v>Unique visits</v>
      </c>
      <c r="AD161">
        <v>4</v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</row>
    <row r="162" spans="1:38" x14ac:dyDescent="0.3">
      <c r="A162" t="s">
        <v>65</v>
      </c>
      <c r="B162">
        <v>41</v>
      </c>
      <c r="C162" t="s">
        <v>15</v>
      </c>
      <c r="D162" t="s">
        <v>23</v>
      </c>
      <c r="E162">
        <v>1</v>
      </c>
      <c r="F162" t="s">
        <v>17</v>
      </c>
      <c r="G162">
        <v>2</v>
      </c>
      <c r="H162" t="s">
        <v>25</v>
      </c>
      <c r="I162">
        <v>0</v>
      </c>
      <c r="J162">
        <v>40.206803960000002</v>
      </c>
      <c r="L162">
        <v>0.69252841200000004</v>
      </c>
      <c r="M162">
        <v>1</v>
      </c>
      <c r="N162">
        <v>0.42510037699999997</v>
      </c>
      <c r="AC162" t="str">
        <v>Minimum visit count</v>
      </c>
      <c r="AD162">
        <v>129</v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</row>
    <row r="163" spans="1:38" x14ac:dyDescent="0.3">
      <c r="A163" t="s">
        <v>65</v>
      </c>
      <c r="B163">
        <v>41</v>
      </c>
      <c r="C163" t="s">
        <v>19</v>
      </c>
      <c r="D163" t="s">
        <v>23</v>
      </c>
      <c r="E163">
        <v>1</v>
      </c>
      <c r="F163" t="s">
        <v>17</v>
      </c>
      <c r="G163">
        <v>2</v>
      </c>
      <c r="H163" t="s">
        <v>25</v>
      </c>
      <c r="I163">
        <v>0</v>
      </c>
      <c r="J163">
        <v>40.206803960000002</v>
      </c>
      <c r="K163">
        <v>41.379278110000001</v>
      </c>
      <c r="L163">
        <v>0.57592160100000001</v>
      </c>
      <c r="M163">
        <v>2</v>
      </c>
      <c r="N163">
        <v>-0.238647101</v>
      </c>
      <c r="AC163" t="str">
        <v>Minimum visit-pair count</v>
      </c>
      <c r="AD163">
        <v>83</v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</row>
    <row r="164" spans="1:38" x14ac:dyDescent="0.3">
      <c r="A164" t="s">
        <v>65</v>
      </c>
      <c r="B164">
        <v>41</v>
      </c>
      <c r="C164" t="s">
        <v>20</v>
      </c>
      <c r="D164" t="s">
        <v>23</v>
      </c>
      <c r="E164">
        <v>1</v>
      </c>
      <c r="F164" t="s">
        <v>17</v>
      </c>
      <c r="G164">
        <v>2</v>
      </c>
      <c r="H164" t="s">
        <v>25</v>
      </c>
      <c r="I164">
        <v>0</v>
      </c>
      <c r="J164">
        <v>40.206803960000002</v>
      </c>
      <c r="K164">
        <v>50.173155960000003</v>
      </c>
      <c r="L164">
        <v>0.78124727199999999</v>
      </c>
      <c r="M164">
        <v>3</v>
      </c>
      <c r="N164">
        <v>1.0584830489999999</v>
      </c>
      <c r="AC164" t="str">
        <v>Weak visit-pair threshold</v>
      </c>
      <c r="AD164">
        <v>5</v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</row>
    <row r="165" spans="1:38" x14ac:dyDescent="0.3">
      <c r="A165" t="s">
        <v>65</v>
      </c>
      <c r="B165">
        <v>41</v>
      </c>
      <c r="C165" t="s">
        <v>21</v>
      </c>
      <c r="D165" t="s">
        <v>23</v>
      </c>
      <c r="E165">
        <v>1</v>
      </c>
      <c r="F165" t="s">
        <v>17</v>
      </c>
      <c r="G165">
        <v>2</v>
      </c>
      <c r="H165" t="s">
        <v>25</v>
      </c>
      <c r="I165">
        <v>0</v>
      </c>
      <c r="J165">
        <v>40.206803960000002</v>
      </c>
      <c r="K165">
        <v>45.352257600000002</v>
      </c>
      <c r="L165">
        <v>0.75112080699999995</v>
      </c>
      <c r="M165">
        <v>4</v>
      </c>
      <c r="N165">
        <v>0.88642265099999995</v>
      </c>
      <c r="AC165" t="str">
        <v>Warning count</v>
      </c>
      <c r="AD165">
        <v>0</v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</row>
    <row r="166" spans="1:38" x14ac:dyDescent="0.3">
      <c r="A166" t="s">
        <v>66</v>
      </c>
      <c r="B166">
        <v>42</v>
      </c>
      <c r="C166" t="s">
        <v>15</v>
      </c>
      <c r="D166" t="s">
        <v>23</v>
      </c>
      <c r="E166">
        <v>1</v>
      </c>
      <c r="F166" t="s">
        <v>17</v>
      </c>
      <c r="G166">
        <v>2</v>
      </c>
      <c r="H166" t="s">
        <v>25</v>
      </c>
      <c r="I166">
        <v>0</v>
      </c>
      <c r="J166">
        <v>31.49825817</v>
      </c>
      <c r="K166">
        <v>39.064908639999999</v>
      </c>
      <c r="L166">
        <v>0.40433868099999998</v>
      </c>
      <c r="M166">
        <v>1</v>
      </c>
      <c r="N166">
        <v>-0.61924304799999996</v>
      </c>
      <c r="AC166" t="str">
        <v>Visit 1 subject count</v>
      </c>
      <c r="AD166">
        <v>134</v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</row>
    <row r="167" spans="1:38" x14ac:dyDescent="0.3">
      <c r="A167" t="s">
        <v>66</v>
      </c>
      <c r="B167">
        <v>42</v>
      </c>
      <c r="C167" t="s">
        <v>19</v>
      </c>
      <c r="D167" t="s">
        <v>23</v>
      </c>
      <c r="E167">
        <v>1</v>
      </c>
      <c r="F167" t="s">
        <v>17</v>
      </c>
      <c r="G167">
        <v>2</v>
      </c>
      <c r="H167" t="s">
        <v>25</v>
      </c>
      <c r="I167">
        <v>0</v>
      </c>
      <c r="J167">
        <v>31.49825817</v>
      </c>
      <c r="L167">
        <v>0.49384656199999999</v>
      </c>
      <c r="M167">
        <v>2</v>
      </c>
      <c r="N167">
        <v>2.2061024649999998</v>
      </c>
      <c r="AC167" t="str">
        <v>Visit 2 subject count</v>
      </c>
      <c r="AD167">
        <v>140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</row>
    <row r="168" spans="1:38" x14ac:dyDescent="0.3">
      <c r="A168" t="s">
        <v>66</v>
      </c>
      <c r="B168">
        <v>42</v>
      </c>
      <c r="C168" t="s">
        <v>20</v>
      </c>
      <c r="D168" t="s">
        <v>23</v>
      </c>
      <c r="E168">
        <v>1</v>
      </c>
      <c r="F168" t="s">
        <v>17</v>
      </c>
      <c r="G168">
        <v>2</v>
      </c>
      <c r="H168" t="s">
        <v>25</v>
      </c>
      <c r="I168">
        <v>0</v>
      </c>
      <c r="J168">
        <v>31.49825817</v>
      </c>
      <c r="L168">
        <v>0.89470197200000001</v>
      </c>
      <c r="M168">
        <v>3</v>
      </c>
      <c r="N168">
        <v>-0.25502702999999999</v>
      </c>
      <c r="AC168" t="str">
        <v>Visit 3 subject count</v>
      </c>
      <c r="AD168">
        <v>129</v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</row>
    <row r="169" spans="1:38" x14ac:dyDescent="0.3">
      <c r="A169" t="s">
        <v>66</v>
      </c>
      <c r="B169">
        <v>42</v>
      </c>
      <c r="C169" t="s">
        <v>21</v>
      </c>
      <c r="D169" t="s">
        <v>23</v>
      </c>
      <c r="E169">
        <v>1</v>
      </c>
      <c r="F169" t="s">
        <v>17</v>
      </c>
      <c r="G169">
        <v>2</v>
      </c>
      <c r="H169" t="s">
        <v>25</v>
      </c>
      <c r="I169">
        <v>0</v>
      </c>
      <c r="J169">
        <v>31.49825817</v>
      </c>
      <c r="K169">
        <v>42.119598119999999</v>
      </c>
      <c r="L169">
        <v>0.23927155999999999</v>
      </c>
      <c r="M169">
        <v>4</v>
      </c>
      <c r="N169">
        <v>-1.42449465</v>
      </c>
      <c r="AC169" t="str">
        <v>Visit 4 subject count</v>
      </c>
      <c r="AD169">
        <v>134</v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</row>
    <row r="170" spans="1:38" x14ac:dyDescent="0.3">
      <c r="A170" t="s">
        <v>67</v>
      </c>
      <c r="B170">
        <v>43</v>
      </c>
      <c r="C170" t="s">
        <v>15</v>
      </c>
      <c r="D170" t="s">
        <v>16</v>
      </c>
      <c r="E170">
        <v>2</v>
      </c>
      <c r="F170" t="s">
        <v>17</v>
      </c>
      <c r="G170">
        <v>2</v>
      </c>
      <c r="H170" t="s">
        <v>18</v>
      </c>
      <c r="I170">
        <v>1</v>
      </c>
      <c r="J170">
        <v>43.793881970000001</v>
      </c>
      <c r="K170">
        <v>29.810419719999999</v>
      </c>
      <c r="L170">
        <v>0.76742463999999999</v>
      </c>
      <c r="M170">
        <v>1</v>
      </c>
      <c r="N170">
        <v>-0.14439960199999999</v>
      </c>
      <c r="AC170" t="str">
        <v>Visit pair 1-2 subject count</v>
      </c>
      <c r="AD170">
        <v>96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</row>
    <row r="171" spans="1:38" x14ac:dyDescent="0.3">
      <c r="A171" t="s">
        <v>67</v>
      </c>
      <c r="B171">
        <v>43</v>
      </c>
      <c r="C171" t="s">
        <v>19</v>
      </c>
      <c r="D171" t="s">
        <v>16</v>
      </c>
      <c r="E171">
        <v>2</v>
      </c>
      <c r="F171" t="s">
        <v>17</v>
      </c>
      <c r="G171">
        <v>2</v>
      </c>
      <c r="H171" t="s">
        <v>18</v>
      </c>
      <c r="I171">
        <v>1</v>
      </c>
      <c r="J171">
        <v>43.793881970000001</v>
      </c>
      <c r="K171">
        <v>42.570546819999997</v>
      </c>
      <c r="L171">
        <v>0.416652299</v>
      </c>
      <c r="M171">
        <v>2</v>
      </c>
      <c r="N171">
        <v>0.20753833899999999</v>
      </c>
      <c r="AC171" t="str">
        <v>Visit pair 1-3 subject count</v>
      </c>
      <c r="AD171">
        <v>84</v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</row>
    <row r="172" spans="1:38" x14ac:dyDescent="0.3">
      <c r="A172" t="s">
        <v>67</v>
      </c>
      <c r="B172">
        <v>43</v>
      </c>
      <c r="C172" t="s">
        <v>20</v>
      </c>
      <c r="D172" t="s">
        <v>16</v>
      </c>
      <c r="E172">
        <v>2</v>
      </c>
      <c r="F172" t="s">
        <v>17</v>
      </c>
      <c r="G172">
        <v>2</v>
      </c>
      <c r="H172" t="s">
        <v>18</v>
      </c>
      <c r="I172">
        <v>1</v>
      </c>
      <c r="J172">
        <v>43.793881970000001</v>
      </c>
      <c r="K172">
        <v>47.816515279999997</v>
      </c>
      <c r="L172">
        <v>0.87524490700000002</v>
      </c>
      <c r="M172">
        <v>3</v>
      </c>
      <c r="N172">
        <v>2.307978399</v>
      </c>
      <c r="AC172" t="str">
        <v>Visit pair 1-4 subject count</v>
      </c>
      <c r="AD172">
        <v>89</v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</row>
    <row r="173" spans="1:38" x14ac:dyDescent="0.3">
      <c r="A173" t="s">
        <v>67</v>
      </c>
      <c r="B173">
        <v>43</v>
      </c>
      <c r="C173" t="s">
        <v>21</v>
      </c>
      <c r="D173" t="s">
        <v>16</v>
      </c>
      <c r="E173">
        <v>2</v>
      </c>
      <c r="F173" t="s">
        <v>17</v>
      </c>
      <c r="G173">
        <v>2</v>
      </c>
      <c r="H173" t="s">
        <v>18</v>
      </c>
      <c r="I173">
        <v>1</v>
      </c>
      <c r="J173">
        <v>43.793881970000001</v>
      </c>
      <c r="K173">
        <v>68.060238310000003</v>
      </c>
      <c r="L173">
        <v>0.25056517299999997</v>
      </c>
      <c r="M173">
        <v>4</v>
      </c>
      <c r="N173">
        <v>0.10580236799999999</v>
      </c>
      <c r="AC173" t="str">
        <v>Visit pair 2-3 subject count</v>
      </c>
      <c r="AD173">
        <v>96</v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</row>
    <row r="174" spans="1:38" x14ac:dyDescent="0.3">
      <c r="A174" t="s">
        <v>68</v>
      </c>
      <c r="B174">
        <v>44</v>
      </c>
      <c r="C174" t="s">
        <v>15</v>
      </c>
      <c r="D174" t="s">
        <v>16</v>
      </c>
      <c r="E174">
        <v>2</v>
      </c>
      <c r="F174" t="s">
        <v>17</v>
      </c>
      <c r="G174">
        <v>2</v>
      </c>
      <c r="H174" t="s">
        <v>25</v>
      </c>
      <c r="I174">
        <v>0</v>
      </c>
      <c r="J174">
        <v>43.887601099999998</v>
      </c>
      <c r="K174">
        <v>35.620712050000002</v>
      </c>
      <c r="L174">
        <v>0.69937733599999996</v>
      </c>
      <c r="M174">
        <v>1</v>
      </c>
      <c r="N174">
        <v>0.45699880500000001</v>
      </c>
      <c r="AC174" t="str">
        <v>Visit pair 2-4 subject count</v>
      </c>
      <c r="AD174">
        <v>95</v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</row>
    <row r="175" spans="1:38" x14ac:dyDescent="0.3">
      <c r="A175" t="s">
        <v>68</v>
      </c>
      <c r="B175">
        <v>44</v>
      </c>
      <c r="C175" t="s">
        <v>19</v>
      </c>
      <c r="D175" t="s">
        <v>16</v>
      </c>
      <c r="E175">
        <v>2</v>
      </c>
      <c r="F175" t="s">
        <v>17</v>
      </c>
      <c r="G175">
        <v>2</v>
      </c>
      <c r="H175" t="s">
        <v>25</v>
      </c>
      <c r="I175">
        <v>0</v>
      </c>
      <c r="J175">
        <v>43.887601099999998</v>
      </c>
      <c r="L175">
        <v>0.34677568800000003</v>
      </c>
      <c r="M175">
        <v>2</v>
      </c>
      <c r="N175">
        <v>-7.7152935000000006E-2</v>
      </c>
      <c r="AC175" t="str">
        <v>Visit pair 3-4 subject count</v>
      </c>
      <c r="AD175">
        <v>83</v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</row>
    <row r="176" spans="1:38" x14ac:dyDescent="0.3">
      <c r="A176" t="s">
        <v>68</v>
      </c>
      <c r="B176">
        <v>44</v>
      </c>
      <c r="C176" t="s">
        <v>20</v>
      </c>
      <c r="D176" t="s">
        <v>16</v>
      </c>
      <c r="E176">
        <v>2</v>
      </c>
      <c r="F176" t="s">
        <v>17</v>
      </c>
      <c r="G176">
        <v>2</v>
      </c>
      <c r="H176" t="s">
        <v>25</v>
      </c>
      <c r="I176">
        <v>0</v>
      </c>
      <c r="J176">
        <v>43.887601099999998</v>
      </c>
      <c r="L176">
        <v>0.40324712099999999</v>
      </c>
      <c r="M176">
        <v>3</v>
      </c>
      <c r="N176">
        <v>-0.33400084200000002</v>
      </c>
      <c r="AC176" t="str">
        <v>Support diagnostics count subjects observed at each visit and visit pair. Low pair support can make UN/HAR1-style covariance estimation unstable.</v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</row>
    <row r="177" spans="1:38" x14ac:dyDescent="0.3">
      <c r="A177" t="s">
        <v>68</v>
      </c>
      <c r="B177">
        <v>44</v>
      </c>
      <c r="C177" t="s">
        <v>21</v>
      </c>
      <c r="D177" t="s">
        <v>16</v>
      </c>
      <c r="E177">
        <v>2</v>
      </c>
      <c r="F177" t="s">
        <v>17</v>
      </c>
      <c r="G177">
        <v>2</v>
      </c>
      <c r="H177" t="s">
        <v>25</v>
      </c>
      <c r="I177">
        <v>0</v>
      </c>
      <c r="J177">
        <v>43.887601099999998</v>
      </c>
      <c r="L177">
        <v>0.70061267400000005</v>
      </c>
      <c r="M177">
        <v>4</v>
      </c>
      <c r="N177">
        <v>-3.4726027999999999E-2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</row>
    <row r="178" spans="1:38" x14ac:dyDescent="0.3">
      <c r="A178" t="s">
        <v>69</v>
      </c>
      <c r="B178">
        <v>45</v>
      </c>
      <c r="C178" t="s">
        <v>15</v>
      </c>
      <c r="D178" t="s">
        <v>23</v>
      </c>
      <c r="E178">
        <v>1</v>
      </c>
      <c r="F178" t="s">
        <v>24</v>
      </c>
      <c r="G178">
        <v>1</v>
      </c>
      <c r="H178" t="s">
        <v>18</v>
      </c>
      <c r="I178">
        <v>1</v>
      </c>
      <c r="J178">
        <v>30.0524415</v>
      </c>
      <c r="K178">
        <v>33.891339090000002</v>
      </c>
      <c r="L178">
        <v>0.66336134000000002</v>
      </c>
      <c r="M178">
        <v>1</v>
      </c>
      <c r="N178">
        <v>0.78763960600000005</v>
      </c>
      <c r="AC178" t="str">
        <v>Optimizer restart diagnostics</v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</row>
    <row r="179" spans="1:38" x14ac:dyDescent="0.3">
      <c r="A179" t="s">
        <v>69</v>
      </c>
      <c r="B179">
        <v>45</v>
      </c>
      <c r="C179" t="s">
        <v>19</v>
      </c>
      <c r="D179" t="s">
        <v>23</v>
      </c>
      <c r="E179">
        <v>1</v>
      </c>
      <c r="F179" t="s">
        <v>24</v>
      </c>
      <c r="G179">
        <v>1</v>
      </c>
      <c r="H179" t="s">
        <v>18</v>
      </c>
      <c r="I179">
        <v>1</v>
      </c>
      <c r="J179">
        <v>30.0524415</v>
      </c>
      <c r="K179">
        <v>36.428078829999997</v>
      </c>
      <c r="L179">
        <v>0.83647442699999996</v>
      </c>
      <c r="M179">
        <v>2</v>
      </c>
      <c r="N179">
        <v>2.0752450090000001</v>
      </c>
      <c r="AC179" t="str">
        <v/>
      </c>
      <c r="AD179" t="str">
        <v>Value</v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</row>
    <row r="180" spans="1:38" x14ac:dyDescent="0.3">
      <c r="A180" t="s">
        <v>69</v>
      </c>
      <c r="B180">
        <v>45</v>
      </c>
      <c r="C180" t="s">
        <v>20</v>
      </c>
      <c r="D180" t="s">
        <v>23</v>
      </c>
      <c r="E180">
        <v>1</v>
      </c>
      <c r="F180" t="s">
        <v>24</v>
      </c>
      <c r="G180">
        <v>1</v>
      </c>
      <c r="H180" t="s">
        <v>18</v>
      </c>
      <c r="I180">
        <v>1</v>
      </c>
      <c r="J180">
        <v>30.0524415</v>
      </c>
      <c r="K180">
        <v>37.575188619999999</v>
      </c>
      <c r="L180">
        <v>0.73622184999999996</v>
      </c>
      <c r="M180">
        <v>3</v>
      </c>
      <c r="N180">
        <v>1.027392439</v>
      </c>
      <c r="AC180" t="str">
        <v>Structured restarts enabled</v>
      </c>
      <c r="AD180" t="b">
        <v>1</v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</row>
    <row r="181" spans="1:38" x14ac:dyDescent="0.3">
      <c r="A181" t="s">
        <v>69</v>
      </c>
      <c r="B181">
        <v>45</v>
      </c>
      <c r="C181" t="s">
        <v>21</v>
      </c>
      <c r="D181" t="s">
        <v>23</v>
      </c>
      <c r="E181">
        <v>1</v>
      </c>
      <c r="F181" t="s">
        <v>24</v>
      </c>
      <c r="G181">
        <v>1</v>
      </c>
      <c r="H181" t="s">
        <v>18</v>
      </c>
      <c r="I181">
        <v>1</v>
      </c>
      <c r="J181">
        <v>30.0524415</v>
      </c>
      <c r="K181">
        <v>58.468734349999998</v>
      </c>
      <c r="L181">
        <v>0.76326157100000003</v>
      </c>
      <c r="M181">
        <v>4</v>
      </c>
      <c r="N181">
        <v>1.207908398</v>
      </c>
      <c r="AC181" t="str">
        <v>Start attempt count</v>
      </c>
      <c r="AD181">
        <v>0</v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</row>
    <row r="182" spans="1:38" x14ac:dyDescent="0.3">
      <c r="A182" t="s">
        <v>70</v>
      </c>
      <c r="B182">
        <v>46</v>
      </c>
      <c r="C182" t="s">
        <v>15</v>
      </c>
      <c r="D182" t="s">
        <v>23</v>
      </c>
      <c r="E182">
        <v>1</v>
      </c>
      <c r="F182" t="s">
        <v>24</v>
      </c>
      <c r="G182">
        <v>1</v>
      </c>
      <c r="H182" t="s">
        <v>25</v>
      </c>
      <c r="I182">
        <v>0</v>
      </c>
      <c r="J182">
        <v>43.459024829999997</v>
      </c>
      <c r="K182">
        <v>19.545158440000002</v>
      </c>
      <c r="L182">
        <v>0.23403813000000001</v>
      </c>
      <c r="M182">
        <v>1</v>
      </c>
      <c r="N182">
        <v>-1.231323422</v>
      </c>
      <c r="AC182" t="str">
        <v>Successful start attempt</v>
      </c>
      <c r="AD182" t="str">
        <v>None</v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</row>
    <row r="183" spans="1:38" x14ac:dyDescent="0.3">
      <c r="A183" t="s">
        <v>70</v>
      </c>
      <c r="B183">
        <v>46</v>
      </c>
      <c r="C183" t="s">
        <v>19</v>
      </c>
      <c r="D183" t="s">
        <v>23</v>
      </c>
      <c r="E183">
        <v>1</v>
      </c>
      <c r="F183" t="s">
        <v>24</v>
      </c>
      <c r="G183">
        <v>1</v>
      </c>
      <c r="H183" t="s">
        <v>25</v>
      </c>
      <c r="I183">
        <v>0</v>
      </c>
      <c r="J183">
        <v>43.459024829999997</v>
      </c>
      <c r="K183">
        <v>31.135414579999999</v>
      </c>
      <c r="L183">
        <v>0.42796782300000002</v>
      </c>
      <c r="M183">
        <v>2</v>
      </c>
      <c r="N183">
        <v>0.98389557000000005</v>
      </c>
      <c r="AC183" t="str">
        <v>Restart attempts are only used after an initial optimizer failure or non-converged optimizer exit; successful first attempts leave the numerical path unchanged.</v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</row>
    <row r="184" spans="1:38" x14ac:dyDescent="0.3">
      <c r="A184" t="s">
        <v>70</v>
      </c>
      <c r="B184">
        <v>46</v>
      </c>
      <c r="C184" t="s">
        <v>20</v>
      </c>
      <c r="D184" t="s">
        <v>23</v>
      </c>
      <c r="E184">
        <v>1</v>
      </c>
      <c r="F184" t="s">
        <v>24</v>
      </c>
      <c r="G184">
        <v>1</v>
      </c>
      <c r="H184" t="s">
        <v>25</v>
      </c>
      <c r="I184">
        <v>0</v>
      </c>
      <c r="J184">
        <v>43.459024829999997</v>
      </c>
      <c r="K184">
        <v>40.899551260000003</v>
      </c>
      <c r="L184">
        <v>0.25700219299999999</v>
      </c>
      <c r="M184">
        <v>3</v>
      </c>
      <c r="N184">
        <v>0.219924804</v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</row>
    <row r="185" spans="1:38" x14ac:dyDescent="0.3">
      <c r="A185" t="s">
        <v>70</v>
      </c>
      <c r="B185">
        <v>46</v>
      </c>
      <c r="C185" t="s">
        <v>21</v>
      </c>
      <c r="D185" t="s">
        <v>23</v>
      </c>
      <c r="E185">
        <v>1</v>
      </c>
      <c r="F185" t="s">
        <v>24</v>
      </c>
      <c r="G185">
        <v>1</v>
      </c>
      <c r="H185" t="s">
        <v>25</v>
      </c>
      <c r="I185">
        <v>0</v>
      </c>
      <c r="J185">
        <v>43.459024829999997</v>
      </c>
      <c r="L185">
        <v>0.307520499</v>
      </c>
      <c r="M185">
        <v>4</v>
      </c>
      <c r="N185">
        <v>-1.4672500289999999</v>
      </c>
      <c r="AC185" t="str">
        <v>KR finite-difference diagnostics</v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</row>
    <row r="186" spans="1:38" x14ac:dyDescent="0.3">
      <c r="A186" t="s">
        <v>71</v>
      </c>
      <c r="B186">
        <v>47</v>
      </c>
      <c r="C186" t="s">
        <v>15</v>
      </c>
      <c r="D186" t="s">
        <v>16</v>
      </c>
      <c r="E186">
        <v>2</v>
      </c>
      <c r="F186" t="s">
        <v>24</v>
      </c>
      <c r="G186">
        <v>1</v>
      </c>
      <c r="H186" t="s">
        <v>25</v>
      </c>
      <c r="I186">
        <v>0</v>
      </c>
      <c r="J186">
        <v>31.832628379999999</v>
      </c>
      <c r="K186">
        <v>22.18808602</v>
      </c>
      <c r="L186">
        <v>0.87633301399999997</v>
      </c>
      <c r="M186">
        <v>1</v>
      </c>
      <c r="N186">
        <v>0.52102274299999995</v>
      </c>
      <c r="AC186" t="str">
        <v/>
      </c>
      <c r="AD186" t="str">
        <v>Value</v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</row>
    <row r="187" spans="1:38" x14ac:dyDescent="0.3">
      <c r="A187" t="s">
        <v>71</v>
      </c>
      <c r="B187">
        <v>47</v>
      </c>
      <c r="C187" t="s">
        <v>19</v>
      </c>
      <c r="D187" t="s">
        <v>16</v>
      </c>
      <c r="E187">
        <v>2</v>
      </c>
      <c r="F187" t="s">
        <v>24</v>
      </c>
      <c r="G187">
        <v>1</v>
      </c>
      <c r="H187" t="s">
        <v>25</v>
      </c>
      <c r="I187">
        <v>0</v>
      </c>
      <c r="J187">
        <v>31.832628379999999</v>
      </c>
      <c r="K187">
        <v>41.058565360000003</v>
      </c>
      <c r="L187">
        <v>0.74931456200000002</v>
      </c>
      <c r="M187">
        <v>2</v>
      </c>
      <c r="N187">
        <v>-0.15875460499999999</v>
      </c>
      <c r="AC187" t="str">
        <v>Status</v>
      </c>
      <c r="AD187" t="str">
        <v>OK</v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</row>
    <row r="188" spans="1:38" x14ac:dyDescent="0.3">
      <c r="A188" t="s">
        <v>71</v>
      </c>
      <c r="B188">
        <v>47</v>
      </c>
      <c r="C188" t="s">
        <v>20</v>
      </c>
      <c r="D188" t="s">
        <v>16</v>
      </c>
      <c r="E188">
        <v>2</v>
      </c>
      <c r="F188" t="s">
        <v>24</v>
      </c>
      <c r="G188">
        <v>1</v>
      </c>
      <c r="H188" t="s">
        <v>25</v>
      </c>
      <c r="I188">
        <v>0</v>
      </c>
      <c r="J188">
        <v>31.832628379999999</v>
      </c>
      <c r="K188">
        <v>37.324516039999999</v>
      </c>
      <c r="L188">
        <v>0.378076672</v>
      </c>
      <c r="M188">
        <v>3</v>
      </c>
      <c r="N188">
        <v>1.4645873119999999</v>
      </c>
      <c r="AC188" t="str">
        <v>Summary</v>
      </c>
      <c r="AD188" t="str">
        <v>status=OK; blocks=197/197; firstCentral=150; firstFallback=0; firstFailed=0; pureSecond=150; mixedSecond=675; secondFailed=0; maxStepHalving=0; cacheHits=0; cacheMisses=6600.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</row>
    <row r="189" spans="1:38" x14ac:dyDescent="0.3">
      <c r="A189" t="s">
        <v>71</v>
      </c>
      <c r="B189">
        <v>47</v>
      </c>
      <c r="C189" t="s">
        <v>21</v>
      </c>
      <c r="D189" t="s">
        <v>16</v>
      </c>
      <c r="E189">
        <v>2</v>
      </c>
      <c r="F189" t="s">
        <v>24</v>
      </c>
      <c r="G189">
        <v>1</v>
      </c>
      <c r="H189" t="s">
        <v>25</v>
      </c>
      <c r="I189">
        <v>0</v>
      </c>
      <c r="J189">
        <v>31.832628379999999</v>
      </c>
      <c r="L189">
        <v>0.85067642200000004</v>
      </c>
      <c r="M189">
        <v>4</v>
      </c>
      <c r="N189">
        <v>-0.76608200000000004</v>
      </c>
      <c r="AC189" t="str">
        <v>First derivative step scale</v>
      </c>
      <c r="AD189">
        <v>1E-4</v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</row>
    <row r="190" spans="1:38" x14ac:dyDescent="0.3">
      <c r="A190" t="s">
        <v>72</v>
      </c>
      <c r="B190">
        <v>48</v>
      </c>
      <c r="C190" t="s">
        <v>15</v>
      </c>
      <c r="D190" t="s">
        <v>23</v>
      </c>
      <c r="E190">
        <v>1</v>
      </c>
      <c r="F190" t="s">
        <v>17</v>
      </c>
      <c r="G190">
        <v>2</v>
      </c>
      <c r="H190" t="s">
        <v>25</v>
      </c>
      <c r="I190">
        <v>0</v>
      </c>
      <c r="J190">
        <v>46.596643989999997</v>
      </c>
      <c r="L190">
        <v>0.230709515</v>
      </c>
      <c r="M190">
        <v>1</v>
      </c>
      <c r="N190">
        <v>-0.430211754</v>
      </c>
      <c r="AC190" t="str">
        <v>Second derivative step scale</v>
      </c>
      <c r="AD190">
        <v>2.5000000000000001E-4</v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</row>
    <row r="191" spans="1:38" x14ac:dyDescent="0.3">
      <c r="A191" t="s">
        <v>72</v>
      </c>
      <c r="B191">
        <v>48</v>
      </c>
      <c r="C191" t="s">
        <v>19</v>
      </c>
      <c r="D191" t="s">
        <v>23</v>
      </c>
      <c r="E191">
        <v>1</v>
      </c>
      <c r="F191" t="s">
        <v>17</v>
      </c>
      <c r="G191">
        <v>2</v>
      </c>
      <c r="H191" t="s">
        <v>25</v>
      </c>
      <c r="I191">
        <v>0</v>
      </c>
      <c r="J191">
        <v>46.596643989999997</v>
      </c>
      <c r="K191">
        <v>43.124316649999997</v>
      </c>
      <c r="L191">
        <v>0.225447328</v>
      </c>
      <c r="M191">
        <v>2</v>
      </c>
      <c r="N191">
        <v>-0.926109497</v>
      </c>
      <c r="AC191" t="str">
        <v>Minimum step</v>
      </c>
      <c r="AD191">
        <v>9.9999999999999995E-8</v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</row>
    <row r="192" spans="1:38" x14ac:dyDescent="0.3">
      <c r="A192" t="s">
        <v>72</v>
      </c>
      <c r="B192">
        <v>48</v>
      </c>
      <c r="C192" t="s">
        <v>20</v>
      </c>
      <c r="D192" t="s">
        <v>23</v>
      </c>
      <c r="E192">
        <v>1</v>
      </c>
      <c r="F192" t="s">
        <v>17</v>
      </c>
      <c r="G192">
        <v>2</v>
      </c>
      <c r="H192" t="s">
        <v>25</v>
      </c>
      <c r="I192">
        <v>0</v>
      </c>
      <c r="J192">
        <v>46.596643989999997</v>
      </c>
      <c r="K192">
        <v>41.993490940000001</v>
      </c>
      <c r="L192">
        <v>0.703250606</v>
      </c>
      <c r="M192">
        <v>3</v>
      </c>
      <c r="N192">
        <v>-0.177103961</v>
      </c>
      <c r="AC192" t="str">
        <v>Maximum step</v>
      </c>
      <c r="AD192">
        <v>0.01</v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</row>
    <row r="193" spans="1:38" x14ac:dyDescent="0.3">
      <c r="A193" t="s">
        <v>72</v>
      </c>
      <c r="B193">
        <v>48</v>
      </c>
      <c r="C193" t="s">
        <v>21</v>
      </c>
      <c r="D193" t="s">
        <v>23</v>
      </c>
      <c r="E193">
        <v>1</v>
      </c>
      <c r="F193" t="s">
        <v>17</v>
      </c>
      <c r="G193">
        <v>2</v>
      </c>
      <c r="H193" t="s">
        <v>25</v>
      </c>
      <c r="I193">
        <v>0</v>
      </c>
      <c r="J193">
        <v>46.596643989999997</v>
      </c>
      <c r="L193">
        <v>0.808840322</v>
      </c>
      <c r="M193">
        <v>4</v>
      </c>
      <c r="N193">
        <v>0.40201177900000001</v>
      </c>
      <c r="AC193" t="str">
        <v>Maximum step halvings</v>
      </c>
      <c r="AD193">
        <v>8</v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</row>
    <row r="194" spans="1:38" x14ac:dyDescent="0.3">
      <c r="A194" t="s">
        <v>73</v>
      </c>
      <c r="B194">
        <v>49</v>
      </c>
      <c r="C194" t="s">
        <v>15</v>
      </c>
      <c r="D194" t="s">
        <v>23</v>
      </c>
      <c r="E194">
        <v>1</v>
      </c>
      <c r="F194" t="s">
        <v>33</v>
      </c>
      <c r="G194">
        <v>3</v>
      </c>
      <c r="H194" t="s">
        <v>18</v>
      </c>
      <c r="I194">
        <v>1</v>
      </c>
      <c r="J194">
        <v>50.272027420000001</v>
      </c>
      <c r="K194">
        <v>44.030804529999997</v>
      </c>
      <c r="L194">
        <v>0.345411309</v>
      </c>
      <c r="M194">
        <v>1</v>
      </c>
      <c r="N194">
        <v>-0.73174817299999995</v>
      </c>
      <c r="AC194" t="str">
        <v>Richardson refinement</v>
      </c>
      <c r="AD194" t="b">
        <v>1</v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</row>
    <row r="195" spans="1:38" x14ac:dyDescent="0.3">
      <c r="A195" t="s">
        <v>73</v>
      </c>
      <c r="B195">
        <v>49</v>
      </c>
      <c r="C195" t="s">
        <v>19</v>
      </c>
      <c r="D195" t="s">
        <v>23</v>
      </c>
      <c r="E195">
        <v>1</v>
      </c>
      <c r="F195" t="s">
        <v>33</v>
      </c>
      <c r="G195">
        <v>3</v>
      </c>
      <c r="H195" t="s">
        <v>18</v>
      </c>
      <c r="I195">
        <v>1</v>
      </c>
      <c r="J195">
        <v>50.272027420000001</v>
      </c>
      <c r="K195">
        <v>38.66417122</v>
      </c>
      <c r="L195">
        <v>0.34886539900000002</v>
      </c>
      <c r="M195">
        <v>2</v>
      </c>
      <c r="N195">
        <v>0.83037316800000005</v>
      </c>
      <c r="AC195" t="str">
        <v>One-sided first-derivative fallback allowed</v>
      </c>
      <c r="AD195" t="b">
        <v>1</v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</row>
    <row r="196" spans="1:38" x14ac:dyDescent="0.3">
      <c r="A196" t="s">
        <v>73</v>
      </c>
      <c r="B196">
        <v>49</v>
      </c>
      <c r="C196" t="s">
        <v>20</v>
      </c>
      <c r="D196" t="s">
        <v>23</v>
      </c>
      <c r="E196">
        <v>1</v>
      </c>
      <c r="F196" t="s">
        <v>33</v>
      </c>
      <c r="G196">
        <v>3</v>
      </c>
      <c r="H196" t="s">
        <v>18</v>
      </c>
      <c r="I196">
        <v>1</v>
      </c>
      <c r="J196">
        <v>50.272027420000001</v>
      </c>
      <c r="K196">
        <v>53.459931689999998</v>
      </c>
      <c r="L196">
        <v>0.88762015100000002</v>
      </c>
      <c r="M196">
        <v>3</v>
      </c>
      <c r="N196">
        <v>-1.2080827860000001</v>
      </c>
      <c r="AC196" t="str">
        <v>Richardson warning relative tolerance</v>
      </c>
      <c r="AD196">
        <v>0.25</v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</row>
    <row r="197" spans="1:38" x14ac:dyDescent="0.3">
      <c r="A197" t="s">
        <v>73</v>
      </c>
      <c r="B197">
        <v>49</v>
      </c>
      <c r="C197" t="s">
        <v>21</v>
      </c>
      <c r="D197" t="s">
        <v>23</v>
      </c>
      <c r="E197">
        <v>1</v>
      </c>
      <c r="F197" t="s">
        <v>33</v>
      </c>
      <c r="G197">
        <v>3</v>
      </c>
      <c r="H197" t="s">
        <v>18</v>
      </c>
      <c r="I197">
        <v>1</v>
      </c>
      <c r="J197">
        <v>50.272027420000001</v>
      </c>
      <c r="L197">
        <v>0.105543384</v>
      </c>
      <c r="M197">
        <v>4</v>
      </c>
      <c r="N197">
        <v>-1.047984413</v>
      </c>
      <c r="AC197" t="str">
        <v>Perturbed V cache diagnostics</v>
      </c>
      <c r="AD197" t="b">
        <v>1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</row>
    <row r="198" spans="1:38" x14ac:dyDescent="0.3">
      <c r="A198" t="s">
        <v>74</v>
      </c>
      <c r="B198">
        <v>50</v>
      </c>
      <c r="C198" t="s">
        <v>15</v>
      </c>
      <c r="D198" t="s">
        <v>16</v>
      </c>
      <c r="E198">
        <v>2</v>
      </c>
      <c r="F198" t="s">
        <v>24</v>
      </c>
      <c r="G198">
        <v>1</v>
      </c>
      <c r="H198" t="s">
        <v>18</v>
      </c>
      <c r="I198">
        <v>1</v>
      </c>
      <c r="J198">
        <v>26.037342840000001</v>
      </c>
      <c r="K198">
        <v>29.819483120000001</v>
      </c>
      <c r="L198">
        <v>0.319456462</v>
      </c>
      <c r="M198">
        <v>1</v>
      </c>
      <c r="N198">
        <v>1.4411577069999999</v>
      </c>
      <c r="AC198" t="str">
        <v>Blocks started</v>
      </c>
      <c r="AD198">
        <v>197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</row>
    <row r="199" spans="1:38" x14ac:dyDescent="0.3">
      <c r="A199" t="s">
        <v>74</v>
      </c>
      <c r="B199">
        <v>50</v>
      </c>
      <c r="C199" t="s">
        <v>19</v>
      </c>
      <c r="D199" t="s">
        <v>16</v>
      </c>
      <c r="E199">
        <v>2</v>
      </c>
      <c r="F199" t="s">
        <v>24</v>
      </c>
      <c r="G199">
        <v>1</v>
      </c>
      <c r="H199" t="s">
        <v>18</v>
      </c>
      <c r="I199">
        <v>1</v>
      </c>
      <c r="J199">
        <v>26.037342840000001</v>
      </c>
      <c r="K199">
        <v>30.43858732</v>
      </c>
      <c r="L199">
        <v>0.73843537199999998</v>
      </c>
      <c r="M199">
        <v>2</v>
      </c>
      <c r="N199">
        <v>-1.015847465</v>
      </c>
      <c r="AC199" t="str">
        <v>Blocks completed</v>
      </c>
      <c r="AD199">
        <v>197</v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</row>
    <row r="200" spans="1:38" x14ac:dyDescent="0.3">
      <c r="A200" t="s">
        <v>74</v>
      </c>
      <c r="B200">
        <v>50</v>
      </c>
      <c r="C200" t="s">
        <v>20</v>
      </c>
      <c r="D200" t="s">
        <v>16</v>
      </c>
      <c r="E200">
        <v>2</v>
      </c>
      <c r="F200" t="s">
        <v>24</v>
      </c>
      <c r="G200">
        <v>1</v>
      </c>
      <c r="H200" t="s">
        <v>18</v>
      </c>
      <c r="I200">
        <v>1</v>
      </c>
      <c r="J200">
        <v>26.037342840000001</v>
      </c>
      <c r="K200">
        <v>40.180949069999997</v>
      </c>
      <c r="L200">
        <v>0.29493577399999998</v>
      </c>
      <c r="M200">
        <v>3</v>
      </c>
      <c r="N200">
        <v>0.41197471200000002</v>
      </c>
      <c r="AC200" t="str">
        <v>First derivatives, central</v>
      </c>
      <c r="AD200">
        <v>150</v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</row>
    <row r="201" spans="1:38" x14ac:dyDescent="0.3">
      <c r="A201" t="s">
        <v>74</v>
      </c>
      <c r="B201">
        <v>50</v>
      </c>
      <c r="C201" t="s">
        <v>21</v>
      </c>
      <c r="D201" t="s">
        <v>16</v>
      </c>
      <c r="E201">
        <v>2</v>
      </c>
      <c r="F201" t="s">
        <v>24</v>
      </c>
      <c r="G201">
        <v>1</v>
      </c>
      <c r="H201" t="s">
        <v>18</v>
      </c>
      <c r="I201">
        <v>1</v>
      </c>
      <c r="J201">
        <v>26.037342840000001</v>
      </c>
      <c r="L201">
        <v>0.46661877000000002</v>
      </c>
      <c r="M201">
        <v>4</v>
      </c>
      <c r="N201">
        <v>-0.38107605100000003</v>
      </c>
      <c r="AC201" t="str">
        <v>First derivatives, one-sided fallback</v>
      </c>
      <c r="AD201">
        <v>0</v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</row>
    <row r="202" spans="1:38" x14ac:dyDescent="0.3">
      <c r="A202" t="s">
        <v>75</v>
      </c>
      <c r="B202">
        <v>51</v>
      </c>
      <c r="C202" t="s">
        <v>15</v>
      </c>
      <c r="D202" t="s">
        <v>16</v>
      </c>
      <c r="E202">
        <v>2</v>
      </c>
      <c r="F202" t="s">
        <v>17</v>
      </c>
      <c r="G202">
        <v>2</v>
      </c>
      <c r="H202" t="s">
        <v>18</v>
      </c>
      <c r="I202">
        <v>1</v>
      </c>
      <c r="J202">
        <v>25.582965309999999</v>
      </c>
      <c r="K202">
        <v>26.785779160000001</v>
      </c>
      <c r="L202">
        <v>0.57087385899999998</v>
      </c>
      <c r="M202">
        <v>1</v>
      </c>
      <c r="N202">
        <v>0.40940184000000002</v>
      </c>
      <c r="AC202" t="str">
        <v>First derivatives, failed</v>
      </c>
      <c r="AD202">
        <v>0</v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</row>
    <row r="203" spans="1:38" x14ac:dyDescent="0.3">
      <c r="A203" t="s">
        <v>75</v>
      </c>
      <c r="B203">
        <v>51</v>
      </c>
      <c r="C203" t="s">
        <v>19</v>
      </c>
      <c r="D203" t="s">
        <v>16</v>
      </c>
      <c r="E203">
        <v>2</v>
      </c>
      <c r="F203" t="s">
        <v>17</v>
      </c>
      <c r="G203">
        <v>2</v>
      </c>
      <c r="H203" t="s">
        <v>18</v>
      </c>
      <c r="I203">
        <v>1</v>
      </c>
      <c r="J203">
        <v>25.582965309999999</v>
      </c>
      <c r="K203">
        <v>34.551154609999998</v>
      </c>
      <c r="L203">
        <v>0.81407342299999996</v>
      </c>
      <c r="M203">
        <v>2</v>
      </c>
      <c r="N203">
        <v>1.688873286</v>
      </c>
      <c r="AC203" t="str">
        <v>Pure second derivatives, central</v>
      </c>
      <c r="AD203">
        <v>150</v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</row>
    <row r="204" spans="1:38" x14ac:dyDescent="0.3">
      <c r="A204" t="s">
        <v>75</v>
      </c>
      <c r="B204">
        <v>51</v>
      </c>
      <c r="C204" t="s">
        <v>20</v>
      </c>
      <c r="D204" t="s">
        <v>16</v>
      </c>
      <c r="E204">
        <v>2</v>
      </c>
      <c r="F204" t="s">
        <v>17</v>
      </c>
      <c r="G204">
        <v>2</v>
      </c>
      <c r="H204" t="s">
        <v>18</v>
      </c>
      <c r="I204">
        <v>1</v>
      </c>
      <c r="J204">
        <v>25.582965309999999</v>
      </c>
      <c r="L204">
        <v>0.199035926</v>
      </c>
      <c r="M204">
        <v>3</v>
      </c>
      <c r="N204">
        <v>1.586588433</v>
      </c>
      <c r="AC204" t="str">
        <v>Mixed second derivatives, central</v>
      </c>
      <c r="AD204">
        <v>675</v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</row>
    <row r="205" spans="1:38" x14ac:dyDescent="0.3">
      <c r="A205" t="s">
        <v>75</v>
      </c>
      <c r="B205">
        <v>51</v>
      </c>
      <c r="C205" t="s">
        <v>21</v>
      </c>
      <c r="D205" t="s">
        <v>16</v>
      </c>
      <c r="E205">
        <v>2</v>
      </c>
      <c r="F205" t="s">
        <v>17</v>
      </c>
      <c r="G205">
        <v>2</v>
      </c>
      <c r="H205" t="s">
        <v>18</v>
      </c>
      <c r="I205">
        <v>1</v>
      </c>
      <c r="J205">
        <v>25.582965309999999</v>
      </c>
      <c r="K205">
        <v>40.064211929999999</v>
      </c>
      <c r="L205">
        <v>0.51064721300000004</v>
      </c>
      <c r="M205">
        <v>4</v>
      </c>
      <c r="N205">
        <v>-0.330907801</v>
      </c>
      <c r="AC205" t="str">
        <v>Second derivatives, failed</v>
      </c>
      <c r="AD205">
        <v>0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</row>
    <row r="206" spans="1:38" x14ac:dyDescent="0.3">
      <c r="A206" t="s">
        <v>76</v>
      </c>
      <c r="B206">
        <v>52</v>
      </c>
      <c r="C206" t="s">
        <v>15</v>
      </c>
      <c r="D206" t="s">
        <v>16</v>
      </c>
      <c r="E206">
        <v>2</v>
      </c>
      <c r="F206" t="s">
        <v>17</v>
      </c>
      <c r="G206">
        <v>2</v>
      </c>
      <c r="H206" t="s">
        <v>18</v>
      </c>
      <c r="I206">
        <v>1</v>
      </c>
      <c r="J206">
        <v>52.970446580000001</v>
      </c>
      <c r="L206">
        <v>0.63091217700000002</v>
      </c>
      <c r="M206">
        <v>1</v>
      </c>
      <c r="N206">
        <v>-2.285235535</v>
      </c>
      <c r="AC206" t="str">
        <v>Maximum step-halving level used</v>
      </c>
      <c r="AD206">
        <v>0</v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</row>
    <row r="207" spans="1:38" x14ac:dyDescent="0.3">
      <c r="A207" t="s">
        <v>76</v>
      </c>
      <c r="B207">
        <v>52</v>
      </c>
      <c r="C207" t="s">
        <v>19</v>
      </c>
      <c r="D207" t="s">
        <v>16</v>
      </c>
      <c r="E207">
        <v>2</v>
      </c>
      <c r="F207" t="s">
        <v>17</v>
      </c>
      <c r="G207">
        <v>2</v>
      </c>
      <c r="H207" t="s">
        <v>18</v>
      </c>
      <c r="I207">
        <v>1</v>
      </c>
      <c r="J207">
        <v>52.970446580000001</v>
      </c>
      <c r="K207">
        <v>43.093286900000003</v>
      </c>
      <c r="L207">
        <v>0.7124336</v>
      </c>
      <c r="M207">
        <v>2</v>
      </c>
      <c r="N207">
        <v>2.4976615899999999</v>
      </c>
      <c r="AC207" t="str">
        <v>Max Richardson relative change, first derivative</v>
      </c>
      <c r="AD207">
        <v>2.5403520806803018E-8</v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</row>
    <row r="208" spans="1:38" x14ac:dyDescent="0.3">
      <c r="A208" t="s">
        <v>76</v>
      </c>
      <c r="B208">
        <v>52</v>
      </c>
      <c r="C208" t="s">
        <v>20</v>
      </c>
      <c r="D208" t="s">
        <v>16</v>
      </c>
      <c r="E208">
        <v>2</v>
      </c>
      <c r="F208" t="s">
        <v>17</v>
      </c>
      <c r="G208">
        <v>2</v>
      </c>
      <c r="H208" t="s">
        <v>18</v>
      </c>
      <c r="I208">
        <v>1</v>
      </c>
      <c r="J208">
        <v>52.970446580000001</v>
      </c>
      <c r="L208">
        <v>0.17410093900000001</v>
      </c>
      <c r="M208">
        <v>3</v>
      </c>
      <c r="N208">
        <v>0.66706616699999999</v>
      </c>
      <c r="AC208" t="str">
        <v>Max Richardson relative change, second derivative</v>
      </c>
      <c r="AD208">
        <v>1.6414711598296629E-7</v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</row>
    <row r="209" spans="1:38" x14ac:dyDescent="0.3">
      <c r="A209" t="s">
        <v>76</v>
      </c>
      <c r="B209">
        <v>52</v>
      </c>
      <c r="C209" t="s">
        <v>21</v>
      </c>
      <c r="D209" t="s">
        <v>16</v>
      </c>
      <c r="E209">
        <v>2</v>
      </c>
      <c r="F209" t="s">
        <v>17</v>
      </c>
      <c r="G209">
        <v>2</v>
      </c>
      <c r="H209" t="s">
        <v>18</v>
      </c>
      <c r="I209">
        <v>1</v>
      </c>
      <c r="J209">
        <v>52.970446580000001</v>
      </c>
      <c r="K209">
        <v>45.715674129999996</v>
      </c>
      <c r="L209">
        <v>0.15411562700000001</v>
      </c>
      <c r="M209">
        <v>4</v>
      </c>
      <c r="N209">
        <v>0.54132733600000005</v>
      </c>
      <c r="AC209" t="str">
        <v>Perturbed V cache entries</v>
      </c>
      <c r="AD209">
        <v>6600</v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</row>
    <row r="210" spans="1:38" x14ac:dyDescent="0.3">
      <c r="A210" t="s">
        <v>77</v>
      </c>
      <c r="B210">
        <v>53</v>
      </c>
      <c r="C210" t="s">
        <v>15</v>
      </c>
      <c r="D210" t="s">
        <v>23</v>
      </c>
      <c r="E210">
        <v>1</v>
      </c>
      <c r="F210" t="s">
        <v>33</v>
      </c>
      <c r="G210">
        <v>3</v>
      </c>
      <c r="H210" t="s">
        <v>25</v>
      </c>
      <c r="I210">
        <v>0</v>
      </c>
      <c r="J210">
        <v>37.89600136</v>
      </c>
      <c r="K210">
        <v>40.749922949999998</v>
      </c>
      <c r="L210">
        <v>0.54487866600000001</v>
      </c>
      <c r="M210">
        <v>1</v>
      </c>
      <c r="N210">
        <v>-1.3399523E-2</v>
      </c>
      <c r="AC210" t="str">
        <v>Perturbed V cache hits</v>
      </c>
      <c r="AD210">
        <v>0</v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</row>
    <row r="211" spans="1:38" x14ac:dyDescent="0.3">
      <c r="A211" t="s">
        <v>77</v>
      </c>
      <c r="B211">
        <v>53</v>
      </c>
      <c r="C211" t="s">
        <v>19</v>
      </c>
      <c r="D211" t="s">
        <v>23</v>
      </c>
      <c r="E211">
        <v>1</v>
      </c>
      <c r="F211" t="s">
        <v>33</v>
      </c>
      <c r="G211">
        <v>3</v>
      </c>
      <c r="H211" t="s">
        <v>25</v>
      </c>
      <c r="I211">
        <v>0</v>
      </c>
      <c r="J211">
        <v>37.89600136</v>
      </c>
      <c r="K211">
        <v>44.746345230000003</v>
      </c>
      <c r="L211">
        <v>0.621054726</v>
      </c>
      <c r="M211">
        <v>2</v>
      </c>
      <c r="N211">
        <v>0.51010842300000003</v>
      </c>
      <c r="AC211" t="str">
        <v>Perturbed V cache misses</v>
      </c>
      <c r="AD211">
        <v>6600</v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</row>
    <row r="212" spans="1:38" x14ac:dyDescent="0.3">
      <c r="A212" t="s">
        <v>77</v>
      </c>
      <c r="B212">
        <v>53</v>
      </c>
      <c r="C212" t="s">
        <v>20</v>
      </c>
      <c r="D212" t="s">
        <v>23</v>
      </c>
      <c r="E212">
        <v>1</v>
      </c>
      <c r="F212" t="s">
        <v>33</v>
      </c>
      <c r="G212">
        <v>3</v>
      </c>
      <c r="H212" t="s">
        <v>25</v>
      </c>
      <c r="I212">
        <v>0</v>
      </c>
      <c r="J212">
        <v>37.89600136</v>
      </c>
      <c r="L212">
        <v>0.33677015100000002</v>
      </c>
      <c r="M212">
        <v>3</v>
      </c>
      <c r="N212">
        <v>-0.164375832</v>
      </c>
      <c r="AC212" t="str">
        <v>Perturbed V invalid builds</v>
      </c>
      <c r="AD212">
        <v>0</v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</row>
    <row r="213" spans="1:38" x14ac:dyDescent="0.3">
      <c r="A213" t="s">
        <v>77</v>
      </c>
      <c r="B213">
        <v>53</v>
      </c>
      <c r="C213" t="s">
        <v>21</v>
      </c>
      <c r="D213" t="s">
        <v>23</v>
      </c>
      <c r="E213">
        <v>1</v>
      </c>
      <c r="F213" t="s">
        <v>33</v>
      </c>
      <c r="G213">
        <v>3</v>
      </c>
      <c r="H213" t="s">
        <v>25</v>
      </c>
      <c r="I213">
        <v>0</v>
      </c>
      <c r="J213">
        <v>37.89600136</v>
      </c>
      <c r="L213">
        <v>0.65640390599999998</v>
      </c>
      <c r="M213">
        <v>4</v>
      </c>
      <c r="N213">
        <v>0.42069464299999998</v>
      </c>
      <c r="AC213" t="str">
        <v>Derivative pattern cache enabled</v>
      </c>
      <c r="AD213" t="b">
        <v>1</v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</row>
    <row r="214" spans="1:38" x14ac:dyDescent="0.3">
      <c r="A214" t="s">
        <v>78</v>
      </c>
      <c r="B214">
        <v>54</v>
      </c>
      <c r="C214" t="s">
        <v>15</v>
      </c>
      <c r="D214" t="s">
        <v>16</v>
      </c>
      <c r="E214">
        <v>2</v>
      </c>
      <c r="F214" t="s">
        <v>33</v>
      </c>
      <c r="G214">
        <v>3</v>
      </c>
      <c r="H214" t="s">
        <v>18</v>
      </c>
      <c r="I214">
        <v>1</v>
      </c>
      <c r="J214">
        <v>41.543149550000003</v>
      </c>
      <c r="L214">
        <v>0.40213596499999998</v>
      </c>
      <c r="M214">
        <v>1</v>
      </c>
      <c r="N214">
        <v>-0.40024674399999999</v>
      </c>
      <c r="AC214" t="str">
        <v>Derivative pattern cache pattern count</v>
      </c>
      <c r="AD214">
        <v>15</v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</row>
    <row r="215" spans="1:38" x14ac:dyDescent="0.3">
      <c r="A215" t="s">
        <v>78</v>
      </c>
      <c r="B215">
        <v>54</v>
      </c>
      <c r="C215" t="s">
        <v>19</v>
      </c>
      <c r="D215" t="s">
        <v>16</v>
      </c>
      <c r="E215">
        <v>2</v>
      </c>
      <c r="F215" t="s">
        <v>33</v>
      </c>
      <c r="G215">
        <v>3</v>
      </c>
      <c r="H215" t="s">
        <v>18</v>
      </c>
      <c r="I215">
        <v>1</v>
      </c>
      <c r="J215">
        <v>41.543149550000003</v>
      </c>
      <c r="L215">
        <v>0.30876955299999997</v>
      </c>
      <c r="M215">
        <v>2</v>
      </c>
      <c r="N215">
        <v>-1.370207878</v>
      </c>
      <c r="AC215" t="str">
        <v>Derivative pattern cache V inverse hits</v>
      </c>
      <c r="AD215">
        <v>182</v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</row>
    <row r="216" spans="1:38" x14ac:dyDescent="0.3">
      <c r="A216" t="s">
        <v>78</v>
      </c>
      <c r="B216">
        <v>54</v>
      </c>
      <c r="C216" t="s">
        <v>20</v>
      </c>
      <c r="D216" t="s">
        <v>16</v>
      </c>
      <c r="E216">
        <v>2</v>
      </c>
      <c r="F216" t="s">
        <v>33</v>
      </c>
      <c r="G216">
        <v>3</v>
      </c>
      <c r="H216" t="s">
        <v>18</v>
      </c>
      <c r="I216">
        <v>1</v>
      </c>
      <c r="J216">
        <v>41.543149550000003</v>
      </c>
      <c r="L216">
        <v>0.85212719000000003</v>
      </c>
      <c r="M216">
        <v>3</v>
      </c>
      <c r="N216">
        <v>0.98783826699999999</v>
      </c>
      <c r="AC216" t="str">
        <v>Derivative pattern cache V inverse misses</v>
      </c>
      <c r="AD216">
        <v>15</v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</row>
    <row r="217" spans="1:38" x14ac:dyDescent="0.3">
      <c r="A217" t="s">
        <v>78</v>
      </c>
      <c r="B217">
        <v>54</v>
      </c>
      <c r="C217" t="s">
        <v>21</v>
      </c>
      <c r="D217" t="s">
        <v>16</v>
      </c>
      <c r="E217">
        <v>2</v>
      </c>
      <c r="F217" t="s">
        <v>33</v>
      </c>
      <c r="G217">
        <v>3</v>
      </c>
      <c r="H217" t="s">
        <v>18</v>
      </c>
      <c r="I217">
        <v>1</v>
      </c>
      <c r="J217">
        <v>41.543149550000003</v>
      </c>
      <c r="L217">
        <v>0.44471195800000002</v>
      </c>
      <c r="M217">
        <v>4</v>
      </c>
      <c r="N217">
        <v>1.519745025</v>
      </c>
      <c r="AC217" t="str">
        <v>Derivative pattern cache first derivative hits</v>
      </c>
      <c r="AD217">
        <v>1820</v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</row>
    <row r="218" spans="1:38" x14ac:dyDescent="0.3">
      <c r="A218" t="s">
        <v>79</v>
      </c>
      <c r="B218">
        <v>55</v>
      </c>
      <c r="C218" t="s">
        <v>15</v>
      </c>
      <c r="D218" t="s">
        <v>16</v>
      </c>
      <c r="E218">
        <v>2</v>
      </c>
      <c r="F218" t="s">
        <v>24</v>
      </c>
      <c r="G218">
        <v>1</v>
      </c>
      <c r="H218" t="s">
        <v>25</v>
      </c>
      <c r="I218">
        <v>0</v>
      </c>
      <c r="J218">
        <v>50.709326060000002</v>
      </c>
      <c r="K218">
        <v>40.146740059999999</v>
      </c>
      <c r="L218">
        <v>0.36165166799999998</v>
      </c>
      <c r="M218">
        <v>1</v>
      </c>
      <c r="N218">
        <v>-0.30874056900000002</v>
      </c>
      <c r="AC218" t="str">
        <v>Derivative pattern cache first derivative misses</v>
      </c>
      <c r="AD218">
        <v>150</v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</row>
    <row r="219" spans="1:38" x14ac:dyDescent="0.3">
      <c r="A219" t="s">
        <v>79</v>
      </c>
      <c r="B219">
        <v>55</v>
      </c>
      <c r="C219" t="s">
        <v>19</v>
      </c>
      <c r="D219" t="s">
        <v>16</v>
      </c>
      <c r="E219">
        <v>2</v>
      </c>
      <c r="F219" t="s">
        <v>24</v>
      </c>
      <c r="G219">
        <v>1</v>
      </c>
      <c r="H219" t="s">
        <v>25</v>
      </c>
      <c r="I219">
        <v>0</v>
      </c>
      <c r="J219">
        <v>50.709326060000002</v>
      </c>
      <c r="K219">
        <v>48.758590230000003</v>
      </c>
      <c r="L219">
        <v>0.52792651099999999</v>
      </c>
      <c r="M219">
        <v>2</v>
      </c>
      <c r="N219">
        <v>-1.253289756</v>
      </c>
      <c r="AC219" t="str">
        <v>Derivative pattern cache second derivative hits</v>
      </c>
      <c r="AD219">
        <v>18200</v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</row>
    <row r="220" spans="1:38" x14ac:dyDescent="0.3">
      <c r="A220" t="s">
        <v>79</v>
      </c>
      <c r="B220">
        <v>55</v>
      </c>
      <c r="C220" t="s">
        <v>20</v>
      </c>
      <c r="D220" t="s">
        <v>16</v>
      </c>
      <c r="E220">
        <v>2</v>
      </c>
      <c r="F220" t="s">
        <v>24</v>
      </c>
      <c r="G220">
        <v>1</v>
      </c>
      <c r="H220" t="s">
        <v>25</v>
      </c>
      <c r="I220">
        <v>0</v>
      </c>
      <c r="J220">
        <v>50.709326060000002</v>
      </c>
      <c r="K220">
        <v>46.434617629999998</v>
      </c>
      <c r="L220">
        <v>0.60075329300000002</v>
      </c>
      <c r="M220">
        <v>3</v>
      </c>
      <c r="N220">
        <v>0.64224130599999996</v>
      </c>
      <c r="AC220" t="str">
        <v>Derivative pattern cache second derivative misses</v>
      </c>
      <c r="AD220">
        <v>1500</v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</row>
    <row r="221" spans="1:38" x14ac:dyDescent="0.3">
      <c r="A221" t="s">
        <v>79</v>
      </c>
      <c r="B221">
        <v>55</v>
      </c>
      <c r="C221" t="s">
        <v>21</v>
      </c>
      <c r="D221" t="s">
        <v>16</v>
      </c>
      <c r="E221">
        <v>2</v>
      </c>
      <c r="F221" t="s">
        <v>24</v>
      </c>
      <c r="G221">
        <v>1</v>
      </c>
      <c r="H221" t="s">
        <v>25</v>
      </c>
      <c r="I221">
        <v>0</v>
      </c>
      <c r="J221">
        <v>50.709326060000002</v>
      </c>
      <c r="L221">
        <v>0.23633758899999999</v>
      </c>
      <c r="M221">
        <v>4</v>
      </c>
      <c r="N221">
        <v>-4.4709137000000003E-2</v>
      </c>
      <c r="AC221" t="str">
        <v>Derivative pattern cache invalid builds</v>
      </c>
      <c r="AD221">
        <v>0</v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</row>
    <row r="222" spans="1:38" x14ac:dyDescent="0.3">
      <c r="A222" t="s">
        <v>80</v>
      </c>
      <c r="B222">
        <v>56</v>
      </c>
      <c r="C222" t="s">
        <v>15</v>
      </c>
      <c r="D222" t="s">
        <v>23</v>
      </c>
      <c r="E222">
        <v>1</v>
      </c>
      <c r="F222" t="s">
        <v>17</v>
      </c>
      <c r="G222">
        <v>2</v>
      </c>
      <c r="H222" t="s">
        <v>25</v>
      </c>
      <c r="I222">
        <v>0</v>
      </c>
      <c r="J222">
        <v>39.562896289999998</v>
      </c>
      <c r="K222">
        <v>29.339898380000001</v>
      </c>
      <c r="L222">
        <v>0.18745304300000001</v>
      </c>
      <c r="M222">
        <v>1</v>
      </c>
      <c r="N222">
        <v>-1.7332184070000001</v>
      </c>
      <c r="AC222" t="str">
        <v>These diagnostics describe the adaptive finite-difference construction of KR derivative blocks. Nonzero fallback or failure counts indicate a numerically difficult covariance fit.</v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</row>
    <row r="223" spans="1:38" x14ac:dyDescent="0.3">
      <c r="A223" t="s">
        <v>80</v>
      </c>
      <c r="B223">
        <v>56</v>
      </c>
      <c r="C223" t="s">
        <v>19</v>
      </c>
      <c r="D223" t="s">
        <v>23</v>
      </c>
      <c r="E223">
        <v>1</v>
      </c>
      <c r="F223" t="s">
        <v>17</v>
      </c>
      <c r="G223">
        <v>2</v>
      </c>
      <c r="H223" t="s">
        <v>25</v>
      </c>
      <c r="I223">
        <v>0</v>
      </c>
      <c r="J223">
        <v>39.562896289999998</v>
      </c>
      <c r="L223">
        <v>0.185823026</v>
      </c>
      <c r="M223">
        <v>2</v>
      </c>
      <c r="N223">
        <v>2.1318600000000002E-3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</row>
    <row r="224" spans="1:38" x14ac:dyDescent="0.3">
      <c r="A224" t="s">
        <v>80</v>
      </c>
      <c r="B224">
        <v>56</v>
      </c>
      <c r="C224" t="s">
        <v>20</v>
      </c>
      <c r="D224" t="s">
        <v>23</v>
      </c>
      <c r="E224">
        <v>1</v>
      </c>
      <c r="F224" t="s">
        <v>17</v>
      </c>
      <c r="G224">
        <v>2</v>
      </c>
      <c r="H224" t="s">
        <v>25</v>
      </c>
      <c r="I224">
        <v>0</v>
      </c>
      <c r="J224">
        <v>39.562896289999998</v>
      </c>
      <c r="L224">
        <v>0.17419341799999999</v>
      </c>
      <c r="M224">
        <v>3</v>
      </c>
      <c r="N224">
        <v>-0.63030033399999996</v>
      </c>
      <c r="AC224" t="str">
        <v>Convergence</v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</row>
    <row r="225" spans="1:38" x14ac:dyDescent="0.3">
      <c r="A225" t="s">
        <v>80</v>
      </c>
      <c r="B225">
        <v>56</v>
      </c>
      <c r="C225" t="s">
        <v>21</v>
      </c>
      <c r="D225" t="s">
        <v>23</v>
      </c>
      <c r="E225">
        <v>1</v>
      </c>
      <c r="F225" t="s">
        <v>17</v>
      </c>
      <c r="G225">
        <v>2</v>
      </c>
      <c r="H225" t="s">
        <v>25</v>
      </c>
      <c r="I225">
        <v>0</v>
      </c>
      <c r="J225">
        <v>39.562896289999998</v>
      </c>
      <c r="K225">
        <v>47.931646149999999</v>
      </c>
      <c r="L225">
        <v>0.52766042400000002</v>
      </c>
      <c r="M225">
        <v>4</v>
      </c>
      <c r="N225">
        <v>-0.34096858000000002</v>
      </c>
      <c r="AC225" t="str">
        <v/>
      </c>
      <c r="AD225" t="str">
        <v>Value</v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</row>
    <row r="226" spans="1:38" x14ac:dyDescent="0.3">
      <c r="A226" t="s">
        <v>81</v>
      </c>
      <c r="B226">
        <v>57</v>
      </c>
      <c r="C226" t="s">
        <v>15</v>
      </c>
      <c r="D226" t="s">
        <v>16</v>
      </c>
      <c r="E226">
        <v>2</v>
      </c>
      <c r="F226" t="s">
        <v>17</v>
      </c>
      <c r="G226">
        <v>2</v>
      </c>
      <c r="H226" t="s">
        <v>25</v>
      </c>
      <c r="I226">
        <v>0</v>
      </c>
      <c r="J226">
        <v>39.364331880000002</v>
      </c>
      <c r="L226">
        <v>0.81711137199999995</v>
      </c>
      <c r="M226">
        <v>1</v>
      </c>
      <c r="N226">
        <v>-1.156572363</v>
      </c>
      <c r="AC226" t="str">
        <v>Converged</v>
      </c>
      <c r="AD226" t="b">
        <v>1</v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</row>
    <row r="227" spans="1:38" x14ac:dyDescent="0.3">
      <c r="A227" t="s">
        <v>81</v>
      </c>
      <c r="B227">
        <v>57</v>
      </c>
      <c r="C227" t="s">
        <v>19</v>
      </c>
      <c r="D227" t="s">
        <v>16</v>
      </c>
      <c r="E227">
        <v>2</v>
      </c>
      <c r="F227" t="s">
        <v>17</v>
      </c>
      <c r="G227">
        <v>2</v>
      </c>
      <c r="H227" t="s">
        <v>25</v>
      </c>
      <c r="I227">
        <v>0</v>
      </c>
      <c r="J227">
        <v>39.364331880000002</v>
      </c>
      <c r="K227">
        <v>41.116315329999999</v>
      </c>
      <c r="L227">
        <v>0.66802081499999999</v>
      </c>
      <c r="M227">
        <v>2</v>
      </c>
      <c r="N227">
        <v>1.803141908</v>
      </c>
      <c r="AC227" t="str">
        <v>Cancelled</v>
      </c>
      <c r="AD227" t="b">
        <v>0</v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</row>
    <row r="228" spans="1:38" x14ac:dyDescent="0.3">
      <c r="A228" t="s">
        <v>81</v>
      </c>
      <c r="B228">
        <v>57</v>
      </c>
      <c r="C228" t="s">
        <v>20</v>
      </c>
      <c r="D228" t="s">
        <v>16</v>
      </c>
      <c r="E228">
        <v>2</v>
      </c>
      <c r="F228" t="s">
        <v>17</v>
      </c>
      <c r="G228">
        <v>2</v>
      </c>
      <c r="H228" t="s">
        <v>25</v>
      </c>
      <c r="I228">
        <v>0</v>
      </c>
      <c r="J228">
        <v>39.364331880000002</v>
      </c>
      <c r="K228">
        <v>47.058887599999998</v>
      </c>
      <c r="L228">
        <v>0.82516333799999997</v>
      </c>
      <c r="M228">
        <v>3</v>
      </c>
      <c r="N228">
        <v>-0.33113203600000002</v>
      </c>
      <c r="AC228" t="str">
        <v>Interrupted</v>
      </c>
      <c r="AD228" t="b">
        <v>0</v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</row>
    <row r="229" spans="1:38" x14ac:dyDescent="0.3">
      <c r="A229" t="s">
        <v>81</v>
      </c>
      <c r="B229">
        <v>57</v>
      </c>
      <c r="C229" t="s">
        <v>21</v>
      </c>
      <c r="D229" t="s">
        <v>16</v>
      </c>
      <c r="E229">
        <v>2</v>
      </c>
      <c r="F229" t="s">
        <v>17</v>
      </c>
      <c r="G229">
        <v>2</v>
      </c>
      <c r="H229" t="s">
        <v>25</v>
      </c>
      <c r="I229">
        <v>0</v>
      </c>
      <c r="J229">
        <v>39.364331880000002</v>
      </c>
      <c r="K229">
        <v>52.245990919999997</v>
      </c>
      <c r="L229">
        <v>0.44935088699999998</v>
      </c>
      <c r="M229">
        <v>4</v>
      </c>
      <c r="N229">
        <v>-1.6055134120000001</v>
      </c>
      <c r="AC229" t="str">
        <v>Message</v>
      </c>
      <c r="AD229" t="str">
        <v>Converged: Average Information objective change 7.5215211836621165E-10 &lt;= tolerance 1.0000000000000001E-09.</v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</row>
    <row r="230" spans="1:38" x14ac:dyDescent="0.3">
      <c r="A230" t="s">
        <v>82</v>
      </c>
      <c r="B230">
        <v>58</v>
      </c>
      <c r="C230" t="s">
        <v>15</v>
      </c>
      <c r="D230" t="s">
        <v>16</v>
      </c>
      <c r="E230">
        <v>2</v>
      </c>
      <c r="F230" t="s">
        <v>33</v>
      </c>
      <c r="G230">
        <v>3</v>
      </c>
      <c r="H230" t="s">
        <v>18</v>
      </c>
      <c r="I230">
        <v>1</v>
      </c>
      <c r="J230">
        <v>56.770273209999999</v>
      </c>
      <c r="L230">
        <v>0.47425511399999998</v>
      </c>
      <c r="M230">
        <v>1</v>
      </c>
      <c r="N230">
        <v>0.197193439</v>
      </c>
      <c r="AC230" t="str">
        <v>Iterations</v>
      </c>
      <c r="AD230">
        <v>9</v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</row>
    <row r="231" spans="1:38" x14ac:dyDescent="0.3">
      <c r="A231" t="s">
        <v>82</v>
      </c>
      <c r="B231">
        <v>58</v>
      </c>
      <c r="C231" t="s">
        <v>19</v>
      </c>
      <c r="D231" t="s">
        <v>16</v>
      </c>
      <c r="E231">
        <v>2</v>
      </c>
      <c r="F231" t="s">
        <v>33</v>
      </c>
      <c r="G231">
        <v>3</v>
      </c>
      <c r="H231" t="s">
        <v>18</v>
      </c>
      <c r="I231">
        <v>1</v>
      </c>
      <c r="J231">
        <v>56.770273209999999</v>
      </c>
      <c r="K231">
        <v>54.142358219999998</v>
      </c>
      <c r="L231">
        <v>0.57849561000000005</v>
      </c>
      <c r="M231">
        <v>2</v>
      </c>
      <c r="N231">
        <v>0.26317564599999999</v>
      </c>
      <c r="AC231" t="str">
        <v>Gradient norm</v>
      </c>
      <c r="AD231">
        <v>1.2527455873542173E-4</v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</row>
    <row r="232" spans="1:38" x14ac:dyDescent="0.3">
      <c r="A232" t="s">
        <v>82</v>
      </c>
      <c r="B232">
        <v>58</v>
      </c>
      <c r="C232" t="s">
        <v>20</v>
      </c>
      <c r="D232" t="s">
        <v>16</v>
      </c>
      <c r="E232">
        <v>2</v>
      </c>
      <c r="F232" t="s">
        <v>33</v>
      </c>
      <c r="G232">
        <v>3</v>
      </c>
      <c r="H232" t="s">
        <v>18</v>
      </c>
      <c r="I232">
        <v>1</v>
      </c>
      <c r="J232">
        <v>56.770273209999999</v>
      </c>
      <c r="K232">
        <v>50.446179579999999</v>
      </c>
      <c r="L232">
        <v>0.34539830500000002</v>
      </c>
      <c r="M232">
        <v>3</v>
      </c>
      <c r="N232">
        <v>-0.98582669999999994</v>
      </c>
      <c r="AC232" t="str">
        <v>Requested maximum iterations</v>
      </c>
      <c r="AD232">
        <v>100</v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</row>
    <row r="233" spans="1:38" x14ac:dyDescent="0.3">
      <c r="A233" t="s">
        <v>82</v>
      </c>
      <c r="B233">
        <v>58</v>
      </c>
      <c r="C233" t="s">
        <v>21</v>
      </c>
      <c r="D233" t="s">
        <v>16</v>
      </c>
      <c r="E233">
        <v>2</v>
      </c>
      <c r="F233" t="s">
        <v>33</v>
      </c>
      <c r="G233">
        <v>3</v>
      </c>
      <c r="H233" t="s">
        <v>18</v>
      </c>
      <c r="I233">
        <v>1</v>
      </c>
      <c r="J233">
        <v>56.770273209999999</v>
      </c>
      <c r="L233">
        <v>0.55760067899999999</v>
      </c>
      <c r="M233">
        <v>4</v>
      </c>
      <c r="N233">
        <v>-2.8889206719999998</v>
      </c>
      <c r="AC233" t="str">
        <v>Gradient tolerance</v>
      </c>
      <c r="AD233">
        <v>1E-8</v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</row>
    <row r="234" spans="1:38" x14ac:dyDescent="0.3">
      <c r="A234" t="s">
        <v>83</v>
      </c>
      <c r="B234">
        <v>59</v>
      </c>
      <c r="C234" t="s">
        <v>15</v>
      </c>
      <c r="D234" t="s">
        <v>16</v>
      </c>
      <c r="E234">
        <v>2</v>
      </c>
      <c r="F234" t="s">
        <v>33</v>
      </c>
      <c r="G234">
        <v>3</v>
      </c>
      <c r="H234" t="s">
        <v>18</v>
      </c>
      <c r="I234">
        <v>1</v>
      </c>
      <c r="J234">
        <v>47.800421970000002</v>
      </c>
      <c r="K234">
        <v>37.536574649999999</v>
      </c>
      <c r="L234">
        <v>0.48336252299999999</v>
      </c>
      <c r="M234">
        <v>1</v>
      </c>
      <c r="N234">
        <v>-0.64048170299999996</v>
      </c>
      <c r="AC234" t="str">
        <v>Step tolerance</v>
      </c>
      <c r="AD234">
        <v>9.9999999999999995E-8</v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</row>
    <row r="235" spans="1:38" x14ac:dyDescent="0.3">
      <c r="A235" t="s">
        <v>83</v>
      </c>
      <c r="B235">
        <v>59</v>
      </c>
      <c r="C235" t="s">
        <v>19</v>
      </c>
      <c r="D235" t="s">
        <v>16</v>
      </c>
      <c r="E235">
        <v>2</v>
      </c>
      <c r="F235" t="s">
        <v>33</v>
      </c>
      <c r="G235">
        <v>3</v>
      </c>
      <c r="H235" t="s">
        <v>18</v>
      </c>
      <c r="I235">
        <v>1</v>
      </c>
      <c r="J235">
        <v>47.800421970000002</v>
      </c>
      <c r="L235">
        <v>0.65729358400000004</v>
      </c>
      <c r="M235">
        <v>2</v>
      </c>
      <c r="N235">
        <v>0.57050763599999998</v>
      </c>
      <c r="AC235" t="str">
        <v>Objective-change tolerance</v>
      </c>
      <c r="AD235">
        <v>1.0000000000000001E-9</v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</row>
    <row r="236" spans="1:38" x14ac:dyDescent="0.3">
      <c r="A236" t="s">
        <v>83</v>
      </c>
      <c r="B236">
        <v>59</v>
      </c>
      <c r="C236" t="s">
        <v>20</v>
      </c>
      <c r="D236" t="s">
        <v>16</v>
      </c>
      <c r="E236">
        <v>2</v>
      </c>
      <c r="F236" t="s">
        <v>33</v>
      </c>
      <c r="G236">
        <v>3</v>
      </c>
      <c r="H236" t="s">
        <v>18</v>
      </c>
      <c r="I236">
        <v>1</v>
      </c>
      <c r="J236">
        <v>47.800421970000002</v>
      </c>
      <c r="K236">
        <v>49.458402749999998</v>
      </c>
      <c r="L236">
        <v>0.68822388000000001</v>
      </c>
      <c r="M236">
        <v>3</v>
      </c>
      <c r="N236">
        <v>-5.9723275999999999E-2</v>
      </c>
      <c r="AC236" t="str">
        <v>BFGS covariance optimization</v>
      </c>
      <c r="AD236" t="b">
        <v>1</v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</row>
    <row r="237" spans="1:38" x14ac:dyDescent="0.3">
      <c r="A237" t="s">
        <v>83</v>
      </c>
      <c r="B237">
        <v>59</v>
      </c>
      <c r="C237" t="s">
        <v>21</v>
      </c>
      <c r="D237" t="s">
        <v>16</v>
      </c>
      <c r="E237">
        <v>2</v>
      </c>
      <c r="F237" t="s">
        <v>33</v>
      </c>
      <c r="G237">
        <v>3</v>
      </c>
      <c r="H237" t="s">
        <v>18</v>
      </c>
      <c r="I237">
        <v>1</v>
      </c>
      <c r="J237">
        <v>47.800421970000002</v>
      </c>
      <c r="K237">
        <v>59.128663269999997</v>
      </c>
      <c r="L237">
        <v>0.51325091300000003</v>
      </c>
      <c r="M237">
        <v>4</v>
      </c>
      <c r="N237">
        <v>-9.8178743999999998E-2</v>
      </c>
      <c r="AC237" t="str">
        <v>Covariance optimizer mode</v>
      </c>
      <c r="AD237" t="str">
        <v>AverageInformationReml</v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</row>
    <row r="238" spans="1:38" x14ac:dyDescent="0.3">
      <c r="A238" t="s">
        <v>84</v>
      </c>
      <c r="B238">
        <v>60</v>
      </c>
      <c r="C238" t="s">
        <v>15</v>
      </c>
      <c r="D238" t="s">
        <v>16</v>
      </c>
      <c r="E238">
        <v>2</v>
      </c>
      <c r="F238" t="s">
        <v>17</v>
      </c>
      <c r="G238">
        <v>2</v>
      </c>
      <c r="H238" t="s">
        <v>18</v>
      </c>
      <c r="I238">
        <v>1</v>
      </c>
      <c r="J238">
        <v>33.46425773</v>
      </c>
      <c r="K238">
        <v>40.312676500000002</v>
      </c>
      <c r="L238">
        <v>0.88829708500000004</v>
      </c>
      <c r="M238">
        <v>1</v>
      </c>
      <c r="N238">
        <v>0.56082072900000002</v>
      </c>
      <c r="AC238" t="str">
        <v>Covariance gradient mode</v>
      </c>
      <c r="AD238" t="str">
        <v>Auto</v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</row>
    <row r="239" spans="1:38" x14ac:dyDescent="0.3">
      <c r="A239" t="s">
        <v>84</v>
      </c>
      <c r="B239">
        <v>60</v>
      </c>
      <c r="C239" t="s">
        <v>19</v>
      </c>
      <c r="D239" t="s">
        <v>16</v>
      </c>
      <c r="E239">
        <v>2</v>
      </c>
      <c r="F239" t="s">
        <v>17</v>
      </c>
      <c r="G239">
        <v>2</v>
      </c>
      <c r="H239" t="s">
        <v>18</v>
      </c>
      <c r="I239">
        <v>1</v>
      </c>
      <c r="J239">
        <v>33.46425773</v>
      </c>
      <c r="K239">
        <v>39.660494159999999</v>
      </c>
      <c r="L239">
        <v>0.83438340600000005</v>
      </c>
      <c r="M239">
        <v>2</v>
      </c>
      <c r="N239">
        <v>-1.186458639</v>
      </c>
      <c r="AC239" t="str">
        <v>Analytic gradient validation tolerance</v>
      </c>
      <c r="AD239">
        <v>1E-4</v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</row>
    <row r="240" spans="1:38" x14ac:dyDescent="0.3">
      <c r="A240" t="s">
        <v>84</v>
      </c>
      <c r="B240">
        <v>60</v>
      </c>
      <c r="C240" t="s">
        <v>20</v>
      </c>
      <c r="D240" t="s">
        <v>16</v>
      </c>
      <c r="E240">
        <v>2</v>
      </c>
      <c r="F240" t="s">
        <v>17</v>
      </c>
      <c r="G240">
        <v>2</v>
      </c>
      <c r="H240" t="s">
        <v>18</v>
      </c>
      <c r="I240">
        <v>1</v>
      </c>
      <c r="J240">
        <v>33.46425773</v>
      </c>
      <c r="K240">
        <v>50.897259490000003</v>
      </c>
      <c r="L240">
        <v>0.47799034000000001</v>
      </c>
      <c r="M240">
        <v>3</v>
      </c>
      <c r="N240">
        <v>1.096777044</v>
      </c>
      <c r="AC240" t="str">
        <v>Fallback to numerical gradient on analytic failure</v>
      </c>
      <c r="AD240" t="b">
        <v>1</v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</row>
    <row r="241" spans="1:38" x14ac:dyDescent="0.3">
      <c r="A241" t="s">
        <v>84</v>
      </c>
      <c r="B241">
        <v>60</v>
      </c>
      <c r="C241" t="s">
        <v>21</v>
      </c>
      <c r="D241" t="s">
        <v>16</v>
      </c>
      <c r="E241">
        <v>2</v>
      </c>
      <c r="F241" t="s">
        <v>17</v>
      </c>
      <c r="G241">
        <v>2</v>
      </c>
      <c r="H241" t="s">
        <v>18</v>
      </c>
      <c r="I241">
        <v>1</v>
      </c>
      <c r="J241">
        <v>33.46425773</v>
      </c>
      <c r="K241">
        <v>56.131164679999998</v>
      </c>
      <c r="L241">
        <v>0.404501322</v>
      </c>
      <c r="M241">
        <v>4</v>
      </c>
      <c r="N241">
        <v>-5.3440279999999998E-3</v>
      </c>
      <c r="AC241" t="str">
        <v>Analytic gradient derivative-pattern cache</v>
      </c>
      <c r="AD241" t="b">
        <v>1</v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</row>
    <row r="242" spans="1:38" x14ac:dyDescent="0.3">
      <c r="A242" t="s">
        <v>85</v>
      </c>
      <c r="B242">
        <v>61</v>
      </c>
      <c r="C242" t="s">
        <v>15</v>
      </c>
      <c r="D242" t="s">
        <v>16</v>
      </c>
      <c r="E242">
        <v>2</v>
      </c>
      <c r="F242" t="s">
        <v>24</v>
      </c>
      <c r="G242">
        <v>1</v>
      </c>
      <c r="H242" t="s">
        <v>25</v>
      </c>
      <c r="I242">
        <v>0</v>
      </c>
      <c r="J242">
        <v>40.936610459999997</v>
      </c>
      <c r="K242">
        <v>32.829811970000002</v>
      </c>
      <c r="L242">
        <v>0.85104829400000004</v>
      </c>
      <c r="M242">
        <v>1</v>
      </c>
      <c r="N242">
        <v>0.707310667</v>
      </c>
      <c r="AC242" t="str">
        <v>KR P/Q/R design-pattern cache</v>
      </c>
      <c r="AD242" t="b">
        <v>1</v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</row>
    <row r="243" spans="1:38" x14ac:dyDescent="0.3">
      <c r="A243" t="s">
        <v>85</v>
      </c>
      <c r="B243">
        <v>61</v>
      </c>
      <c r="C243" t="s">
        <v>19</v>
      </c>
      <c r="D243" t="s">
        <v>16</v>
      </c>
      <c r="E243">
        <v>2</v>
      </c>
      <c r="F243" t="s">
        <v>24</v>
      </c>
      <c r="G243">
        <v>1</v>
      </c>
      <c r="H243" t="s">
        <v>25</v>
      </c>
      <c r="I243">
        <v>0</v>
      </c>
      <c r="J243">
        <v>40.936610459999997</v>
      </c>
      <c r="K243">
        <v>46.538372510000002</v>
      </c>
      <c r="L243">
        <v>0.85558163499999995</v>
      </c>
      <c r="M243">
        <v>2</v>
      </c>
      <c r="N243">
        <v>1.0341077350000001</v>
      </c>
      <c r="AC243" t="str">
        <v>KR P/Q/R fast factorization</v>
      </c>
      <c r="AD243" t="b">
        <v>1</v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</row>
    <row r="244" spans="1:38" x14ac:dyDescent="0.3">
      <c r="A244" t="s">
        <v>85</v>
      </c>
      <c r="B244">
        <v>61</v>
      </c>
      <c r="C244" t="s">
        <v>20</v>
      </c>
      <c r="D244" t="s">
        <v>16</v>
      </c>
      <c r="E244">
        <v>2</v>
      </c>
      <c r="F244" t="s">
        <v>24</v>
      </c>
      <c r="G244">
        <v>1</v>
      </c>
      <c r="H244" t="s">
        <v>25</v>
      </c>
      <c r="I244">
        <v>0</v>
      </c>
      <c r="J244">
        <v>40.936610459999997</v>
      </c>
      <c r="L244">
        <v>0.82545972400000001</v>
      </c>
      <c r="M244">
        <v>3</v>
      </c>
      <c r="N244">
        <v>0.22348041499999999</v>
      </c>
    </row>
    <row r="245" spans="1:38" x14ac:dyDescent="0.3">
      <c r="A245" t="s">
        <v>85</v>
      </c>
      <c r="B245">
        <v>61</v>
      </c>
      <c r="C245" t="s">
        <v>21</v>
      </c>
      <c r="D245" t="s">
        <v>16</v>
      </c>
      <c r="E245">
        <v>2</v>
      </c>
      <c r="F245" t="s">
        <v>24</v>
      </c>
      <c r="G245">
        <v>1</v>
      </c>
      <c r="H245" t="s">
        <v>25</v>
      </c>
      <c r="I245">
        <v>0</v>
      </c>
      <c r="J245">
        <v>40.936610459999997</v>
      </c>
      <c r="K245">
        <v>51.812645699999997</v>
      </c>
      <c r="L245">
        <v>0.72750215900000004</v>
      </c>
      <c r="M245">
        <v>4</v>
      </c>
      <c r="N245">
        <v>-0.878707613</v>
      </c>
    </row>
    <row r="246" spans="1:38" x14ac:dyDescent="0.3">
      <c r="A246" t="s">
        <v>86</v>
      </c>
      <c r="B246">
        <v>62</v>
      </c>
      <c r="C246" t="s">
        <v>15</v>
      </c>
      <c r="D246" t="s">
        <v>23</v>
      </c>
      <c r="E246">
        <v>1</v>
      </c>
      <c r="F246" t="s">
        <v>24</v>
      </c>
      <c r="G246">
        <v>1</v>
      </c>
      <c r="H246" t="s">
        <v>18</v>
      </c>
      <c r="I246">
        <v>1</v>
      </c>
      <c r="J246">
        <v>37.139052319999998</v>
      </c>
      <c r="L246">
        <v>0.60106485300000001</v>
      </c>
      <c r="M246">
        <v>1</v>
      </c>
      <c r="N246">
        <v>1.1629645559999999</v>
      </c>
    </row>
    <row r="247" spans="1:38" x14ac:dyDescent="0.3">
      <c r="A247" t="s">
        <v>86</v>
      </c>
      <c r="B247">
        <v>62</v>
      </c>
      <c r="C247" t="s">
        <v>19</v>
      </c>
      <c r="D247" t="s">
        <v>23</v>
      </c>
      <c r="E247">
        <v>1</v>
      </c>
      <c r="F247" t="s">
        <v>24</v>
      </c>
      <c r="G247">
        <v>1</v>
      </c>
      <c r="H247" t="s">
        <v>18</v>
      </c>
      <c r="I247">
        <v>1</v>
      </c>
      <c r="J247">
        <v>37.139052319999998</v>
      </c>
      <c r="K247">
        <v>29.91939034</v>
      </c>
      <c r="L247">
        <v>0.64051497099999999</v>
      </c>
      <c r="M247">
        <v>2</v>
      </c>
      <c r="N247">
        <v>-2.0001649449999999</v>
      </c>
    </row>
    <row r="248" spans="1:38" x14ac:dyDescent="0.3">
      <c r="A248" t="s">
        <v>86</v>
      </c>
      <c r="B248">
        <v>62</v>
      </c>
      <c r="C248" t="s">
        <v>20</v>
      </c>
      <c r="D248" t="s">
        <v>23</v>
      </c>
      <c r="E248">
        <v>1</v>
      </c>
      <c r="F248" t="s">
        <v>24</v>
      </c>
      <c r="G248">
        <v>1</v>
      </c>
      <c r="H248" t="s">
        <v>18</v>
      </c>
      <c r="I248">
        <v>1</v>
      </c>
      <c r="J248">
        <v>37.139052319999998</v>
      </c>
      <c r="L248">
        <v>0.84968780399999999</v>
      </c>
      <c r="M248">
        <v>3</v>
      </c>
      <c r="N248">
        <v>-0.54479074000000005</v>
      </c>
    </row>
    <row r="249" spans="1:38" x14ac:dyDescent="0.3">
      <c r="A249" t="s">
        <v>86</v>
      </c>
      <c r="B249">
        <v>62</v>
      </c>
      <c r="C249" t="s">
        <v>21</v>
      </c>
      <c r="D249" t="s">
        <v>23</v>
      </c>
      <c r="E249">
        <v>1</v>
      </c>
      <c r="F249" t="s">
        <v>24</v>
      </c>
      <c r="G249">
        <v>1</v>
      </c>
      <c r="H249" t="s">
        <v>18</v>
      </c>
      <c r="I249">
        <v>1</v>
      </c>
      <c r="J249">
        <v>37.139052319999998</v>
      </c>
      <c r="L249">
        <v>0.52762172100000004</v>
      </c>
      <c r="M249">
        <v>4</v>
      </c>
      <c r="N249">
        <v>-0.255670709</v>
      </c>
    </row>
    <row r="250" spans="1:38" x14ac:dyDescent="0.3">
      <c r="A250" t="s">
        <v>87</v>
      </c>
      <c r="B250">
        <v>63</v>
      </c>
      <c r="C250" t="s">
        <v>15</v>
      </c>
      <c r="D250" t="s">
        <v>23</v>
      </c>
      <c r="E250">
        <v>1</v>
      </c>
      <c r="F250" t="s">
        <v>33</v>
      </c>
      <c r="G250">
        <v>3</v>
      </c>
      <c r="H250" t="s">
        <v>18</v>
      </c>
      <c r="I250">
        <v>1</v>
      </c>
      <c r="J250">
        <v>42.970105259999997</v>
      </c>
      <c r="L250">
        <v>0.369432021</v>
      </c>
      <c r="M250">
        <v>1</v>
      </c>
      <c r="N250">
        <v>-0.166121037</v>
      </c>
    </row>
    <row r="251" spans="1:38" x14ac:dyDescent="0.3">
      <c r="A251" t="s">
        <v>87</v>
      </c>
      <c r="B251">
        <v>63</v>
      </c>
      <c r="C251" t="s">
        <v>19</v>
      </c>
      <c r="D251" t="s">
        <v>23</v>
      </c>
      <c r="E251">
        <v>1</v>
      </c>
      <c r="F251" t="s">
        <v>33</v>
      </c>
      <c r="G251">
        <v>3</v>
      </c>
      <c r="H251" t="s">
        <v>18</v>
      </c>
      <c r="I251">
        <v>1</v>
      </c>
      <c r="J251">
        <v>42.970105259999997</v>
      </c>
      <c r="K251">
        <v>51.056564569999999</v>
      </c>
      <c r="L251">
        <v>0.73253661800000003</v>
      </c>
      <c r="M251">
        <v>2</v>
      </c>
      <c r="N251">
        <v>1.0204639090000001</v>
      </c>
    </row>
    <row r="252" spans="1:38" x14ac:dyDescent="0.3">
      <c r="A252" t="s">
        <v>87</v>
      </c>
      <c r="B252">
        <v>63</v>
      </c>
      <c r="C252" t="s">
        <v>20</v>
      </c>
      <c r="D252" t="s">
        <v>23</v>
      </c>
      <c r="E252">
        <v>1</v>
      </c>
      <c r="F252" t="s">
        <v>33</v>
      </c>
      <c r="G252">
        <v>3</v>
      </c>
      <c r="H252" t="s">
        <v>18</v>
      </c>
      <c r="I252">
        <v>1</v>
      </c>
      <c r="J252">
        <v>42.970105259999997</v>
      </c>
      <c r="K252">
        <v>50.500586329999997</v>
      </c>
      <c r="L252">
        <v>0.198611657</v>
      </c>
      <c r="M252">
        <v>3</v>
      </c>
      <c r="N252">
        <v>0.13622189300000001</v>
      </c>
    </row>
    <row r="253" spans="1:38" x14ac:dyDescent="0.3">
      <c r="A253" t="s">
        <v>87</v>
      </c>
      <c r="B253">
        <v>63</v>
      </c>
      <c r="C253" t="s">
        <v>21</v>
      </c>
      <c r="D253" t="s">
        <v>23</v>
      </c>
      <c r="E253">
        <v>1</v>
      </c>
      <c r="F253" t="s">
        <v>33</v>
      </c>
      <c r="G253">
        <v>3</v>
      </c>
      <c r="H253" t="s">
        <v>18</v>
      </c>
      <c r="I253">
        <v>1</v>
      </c>
      <c r="J253">
        <v>42.970105259999997</v>
      </c>
      <c r="K253">
        <v>64.113878970000002</v>
      </c>
      <c r="L253">
        <v>0.86730265799999995</v>
      </c>
      <c r="M253">
        <v>4</v>
      </c>
      <c r="N253">
        <v>0.40716760299999999</v>
      </c>
    </row>
    <row r="254" spans="1:38" x14ac:dyDescent="0.3">
      <c r="A254" t="s">
        <v>88</v>
      </c>
      <c r="B254">
        <v>64</v>
      </c>
      <c r="C254" t="s">
        <v>15</v>
      </c>
      <c r="D254" t="s">
        <v>23</v>
      </c>
      <c r="E254">
        <v>1</v>
      </c>
      <c r="F254" t="s">
        <v>17</v>
      </c>
      <c r="G254">
        <v>2</v>
      </c>
      <c r="H254" t="s">
        <v>18</v>
      </c>
      <c r="I254">
        <v>1</v>
      </c>
      <c r="J254">
        <v>31.091887029999999</v>
      </c>
      <c r="K254">
        <v>32.218432880000002</v>
      </c>
      <c r="L254">
        <v>0.12599359399999999</v>
      </c>
      <c r="M254">
        <v>1</v>
      </c>
      <c r="N254">
        <v>-6.9654812999999996E-2</v>
      </c>
    </row>
    <row r="255" spans="1:38" x14ac:dyDescent="0.3">
      <c r="A255" t="s">
        <v>88</v>
      </c>
      <c r="B255">
        <v>64</v>
      </c>
      <c r="C255" t="s">
        <v>19</v>
      </c>
      <c r="D255" t="s">
        <v>23</v>
      </c>
      <c r="E255">
        <v>1</v>
      </c>
      <c r="F255" t="s">
        <v>17</v>
      </c>
      <c r="G255">
        <v>2</v>
      </c>
      <c r="H255" t="s">
        <v>18</v>
      </c>
      <c r="I255">
        <v>1</v>
      </c>
      <c r="J255">
        <v>31.091887029999999</v>
      </c>
      <c r="K255">
        <v>29.647321560000002</v>
      </c>
      <c r="L255">
        <v>0.30775134700000001</v>
      </c>
      <c r="M255">
        <v>2</v>
      </c>
      <c r="N255">
        <v>-0.24766434200000001</v>
      </c>
    </row>
    <row r="256" spans="1:38" x14ac:dyDescent="0.3">
      <c r="A256" t="s">
        <v>88</v>
      </c>
      <c r="B256">
        <v>64</v>
      </c>
      <c r="C256" t="s">
        <v>20</v>
      </c>
      <c r="D256" t="s">
        <v>23</v>
      </c>
      <c r="E256">
        <v>1</v>
      </c>
      <c r="F256" t="s">
        <v>17</v>
      </c>
      <c r="G256">
        <v>2</v>
      </c>
      <c r="H256" t="s">
        <v>18</v>
      </c>
      <c r="I256">
        <v>1</v>
      </c>
      <c r="J256">
        <v>31.091887029999999</v>
      </c>
      <c r="L256">
        <v>0.80114420099999994</v>
      </c>
      <c r="M256">
        <v>3</v>
      </c>
      <c r="N256">
        <v>0.69555080700000005</v>
      </c>
    </row>
    <row r="257" spans="1:14" x14ac:dyDescent="0.3">
      <c r="A257" t="s">
        <v>88</v>
      </c>
      <c r="B257">
        <v>64</v>
      </c>
      <c r="C257" t="s">
        <v>21</v>
      </c>
      <c r="D257" t="s">
        <v>23</v>
      </c>
      <c r="E257">
        <v>1</v>
      </c>
      <c r="F257" t="s">
        <v>17</v>
      </c>
      <c r="G257">
        <v>2</v>
      </c>
      <c r="H257" t="s">
        <v>18</v>
      </c>
      <c r="I257">
        <v>1</v>
      </c>
      <c r="J257">
        <v>31.091887029999999</v>
      </c>
      <c r="K257">
        <v>45.099187290000003</v>
      </c>
      <c r="L257">
        <v>0.776499575</v>
      </c>
      <c r="M257">
        <v>4</v>
      </c>
      <c r="N257">
        <v>1.146228357</v>
      </c>
    </row>
    <row r="258" spans="1:14" x14ac:dyDescent="0.3">
      <c r="A258" t="s">
        <v>89</v>
      </c>
      <c r="B258">
        <v>65</v>
      </c>
      <c r="C258" t="s">
        <v>15</v>
      </c>
      <c r="D258" t="s">
        <v>16</v>
      </c>
      <c r="E258">
        <v>2</v>
      </c>
      <c r="F258" t="s">
        <v>24</v>
      </c>
      <c r="G258">
        <v>1</v>
      </c>
      <c r="H258" t="s">
        <v>18</v>
      </c>
      <c r="I258">
        <v>1</v>
      </c>
      <c r="J258">
        <v>29.5884988</v>
      </c>
      <c r="K258">
        <v>39.756591569999998</v>
      </c>
      <c r="L258">
        <v>0.11348312300000001</v>
      </c>
      <c r="M258">
        <v>1</v>
      </c>
      <c r="N258">
        <v>-2.4030962150000001</v>
      </c>
    </row>
    <row r="259" spans="1:14" x14ac:dyDescent="0.3">
      <c r="A259" t="s">
        <v>89</v>
      </c>
      <c r="B259">
        <v>65</v>
      </c>
      <c r="C259" t="s">
        <v>19</v>
      </c>
      <c r="D259" t="s">
        <v>16</v>
      </c>
      <c r="E259">
        <v>2</v>
      </c>
      <c r="F259" t="s">
        <v>24</v>
      </c>
      <c r="G259">
        <v>1</v>
      </c>
      <c r="H259" t="s">
        <v>18</v>
      </c>
      <c r="I259">
        <v>1</v>
      </c>
      <c r="J259">
        <v>29.5884988</v>
      </c>
      <c r="K259">
        <v>37.28893746</v>
      </c>
      <c r="L259">
        <v>0.24691269599999999</v>
      </c>
      <c r="M259">
        <v>2</v>
      </c>
      <c r="N259">
        <v>0.57273955499999996</v>
      </c>
    </row>
    <row r="260" spans="1:14" x14ac:dyDescent="0.3">
      <c r="A260" t="s">
        <v>89</v>
      </c>
      <c r="B260">
        <v>65</v>
      </c>
      <c r="C260" t="s">
        <v>20</v>
      </c>
      <c r="D260" t="s">
        <v>16</v>
      </c>
      <c r="E260">
        <v>2</v>
      </c>
      <c r="F260" t="s">
        <v>24</v>
      </c>
      <c r="G260">
        <v>1</v>
      </c>
      <c r="H260" t="s">
        <v>18</v>
      </c>
      <c r="I260">
        <v>1</v>
      </c>
      <c r="J260">
        <v>29.5884988</v>
      </c>
      <c r="K260">
        <v>44.801446089999999</v>
      </c>
      <c r="L260">
        <v>0.192673705</v>
      </c>
      <c r="M260">
        <v>3</v>
      </c>
      <c r="N260">
        <v>0.37472440699999998</v>
      </c>
    </row>
    <row r="261" spans="1:14" x14ac:dyDescent="0.3">
      <c r="A261" t="s">
        <v>89</v>
      </c>
      <c r="B261">
        <v>65</v>
      </c>
      <c r="C261" t="s">
        <v>21</v>
      </c>
      <c r="D261" t="s">
        <v>16</v>
      </c>
      <c r="E261">
        <v>2</v>
      </c>
      <c r="F261" t="s">
        <v>24</v>
      </c>
      <c r="G261">
        <v>1</v>
      </c>
      <c r="H261" t="s">
        <v>18</v>
      </c>
      <c r="I261">
        <v>1</v>
      </c>
      <c r="J261">
        <v>29.5884988</v>
      </c>
      <c r="K261">
        <v>65.959197099999997</v>
      </c>
      <c r="L261">
        <v>0.48273169599999999</v>
      </c>
      <c r="M261">
        <v>4</v>
      </c>
      <c r="N261">
        <v>-0.42526772200000001</v>
      </c>
    </row>
    <row r="262" spans="1:14" x14ac:dyDescent="0.3">
      <c r="A262" t="s">
        <v>90</v>
      </c>
      <c r="B262">
        <v>66</v>
      </c>
      <c r="C262" t="s">
        <v>15</v>
      </c>
      <c r="D262" t="s">
        <v>16</v>
      </c>
      <c r="E262">
        <v>2</v>
      </c>
      <c r="F262" t="s">
        <v>24</v>
      </c>
      <c r="G262">
        <v>1</v>
      </c>
      <c r="H262" t="s">
        <v>25</v>
      </c>
      <c r="I262">
        <v>0</v>
      </c>
      <c r="J262">
        <v>30.76419069</v>
      </c>
      <c r="K262">
        <v>33.434393780000001</v>
      </c>
      <c r="L262">
        <v>0.85977990699999995</v>
      </c>
      <c r="M262">
        <v>1</v>
      </c>
      <c r="N262">
        <v>0.95101280799999999</v>
      </c>
    </row>
    <row r="263" spans="1:14" x14ac:dyDescent="0.3">
      <c r="A263" t="s">
        <v>90</v>
      </c>
      <c r="B263">
        <v>66</v>
      </c>
      <c r="C263" t="s">
        <v>19</v>
      </c>
      <c r="D263" t="s">
        <v>16</v>
      </c>
      <c r="E263">
        <v>2</v>
      </c>
      <c r="F263" t="s">
        <v>24</v>
      </c>
      <c r="G263">
        <v>1</v>
      </c>
      <c r="H263" t="s">
        <v>25</v>
      </c>
      <c r="I263">
        <v>0</v>
      </c>
      <c r="J263">
        <v>30.76419069</v>
      </c>
      <c r="K263">
        <v>33.57042216</v>
      </c>
      <c r="L263">
        <v>0.76059015200000002</v>
      </c>
      <c r="M263">
        <v>2</v>
      </c>
      <c r="N263">
        <v>-0.38923718200000001</v>
      </c>
    </row>
    <row r="264" spans="1:14" x14ac:dyDescent="0.3">
      <c r="A264" t="s">
        <v>90</v>
      </c>
      <c r="B264">
        <v>66</v>
      </c>
      <c r="C264" t="s">
        <v>20</v>
      </c>
      <c r="D264" t="s">
        <v>16</v>
      </c>
      <c r="E264">
        <v>2</v>
      </c>
      <c r="F264" t="s">
        <v>24</v>
      </c>
      <c r="G264">
        <v>1</v>
      </c>
      <c r="H264" t="s">
        <v>25</v>
      </c>
      <c r="I264">
        <v>0</v>
      </c>
      <c r="J264">
        <v>30.76419069</v>
      </c>
      <c r="K264">
        <v>39.915432529999997</v>
      </c>
      <c r="L264">
        <v>0.74924696800000001</v>
      </c>
      <c r="M264">
        <v>3</v>
      </c>
      <c r="N264">
        <v>-0.28433066200000001</v>
      </c>
    </row>
    <row r="265" spans="1:14" x14ac:dyDescent="0.3">
      <c r="A265" t="s">
        <v>90</v>
      </c>
      <c r="B265">
        <v>66</v>
      </c>
      <c r="C265" t="s">
        <v>21</v>
      </c>
      <c r="D265" t="s">
        <v>16</v>
      </c>
      <c r="E265">
        <v>2</v>
      </c>
      <c r="F265" t="s">
        <v>24</v>
      </c>
      <c r="G265">
        <v>1</v>
      </c>
      <c r="H265" t="s">
        <v>25</v>
      </c>
      <c r="I265">
        <v>0</v>
      </c>
      <c r="J265">
        <v>30.76419069</v>
      </c>
      <c r="K265">
        <v>49.570977059999997</v>
      </c>
      <c r="L265">
        <v>0.83258954399999996</v>
      </c>
      <c r="M265">
        <v>4</v>
      </c>
      <c r="N265">
        <v>0.85740977799999996</v>
      </c>
    </row>
    <row r="266" spans="1:14" x14ac:dyDescent="0.3">
      <c r="A266" t="s">
        <v>91</v>
      </c>
      <c r="B266">
        <v>67</v>
      </c>
      <c r="C266" t="s">
        <v>15</v>
      </c>
      <c r="D266" t="s">
        <v>16</v>
      </c>
      <c r="E266">
        <v>2</v>
      </c>
      <c r="F266" t="s">
        <v>33</v>
      </c>
      <c r="G266">
        <v>3</v>
      </c>
      <c r="H266" t="s">
        <v>18</v>
      </c>
      <c r="I266">
        <v>1</v>
      </c>
      <c r="J266">
        <v>25.601290339999998</v>
      </c>
      <c r="K266">
        <v>38.916343310000002</v>
      </c>
      <c r="L266">
        <v>0.66013221600000005</v>
      </c>
      <c r="M266">
        <v>1</v>
      </c>
      <c r="N266">
        <v>1.7196272990000001</v>
      </c>
    </row>
    <row r="267" spans="1:14" x14ac:dyDescent="0.3">
      <c r="A267" t="s">
        <v>91</v>
      </c>
      <c r="B267">
        <v>67</v>
      </c>
      <c r="C267" t="s">
        <v>19</v>
      </c>
      <c r="D267" t="s">
        <v>16</v>
      </c>
      <c r="E267">
        <v>2</v>
      </c>
      <c r="F267" t="s">
        <v>33</v>
      </c>
      <c r="G267">
        <v>3</v>
      </c>
      <c r="H267" t="s">
        <v>18</v>
      </c>
      <c r="I267">
        <v>1</v>
      </c>
      <c r="J267">
        <v>25.601290339999998</v>
      </c>
      <c r="K267">
        <v>36.690109219999997</v>
      </c>
      <c r="L267">
        <v>0.16643085699999999</v>
      </c>
      <c r="M267">
        <v>2</v>
      </c>
      <c r="N267">
        <v>0.27005490100000001</v>
      </c>
    </row>
    <row r="268" spans="1:14" x14ac:dyDescent="0.3">
      <c r="A268" t="s">
        <v>91</v>
      </c>
      <c r="B268">
        <v>67</v>
      </c>
      <c r="C268" t="s">
        <v>20</v>
      </c>
      <c r="D268" t="s">
        <v>16</v>
      </c>
      <c r="E268">
        <v>2</v>
      </c>
      <c r="F268" t="s">
        <v>33</v>
      </c>
      <c r="G268">
        <v>3</v>
      </c>
      <c r="H268" t="s">
        <v>18</v>
      </c>
      <c r="I268">
        <v>1</v>
      </c>
      <c r="J268">
        <v>25.601290339999998</v>
      </c>
      <c r="K268">
        <v>45.666649730000003</v>
      </c>
      <c r="L268">
        <v>0.19446090799999999</v>
      </c>
      <c r="M268">
        <v>3</v>
      </c>
      <c r="N268">
        <v>-0.42218401</v>
      </c>
    </row>
    <row r="269" spans="1:14" x14ac:dyDescent="0.3">
      <c r="A269" t="s">
        <v>91</v>
      </c>
      <c r="B269">
        <v>67</v>
      </c>
      <c r="C269" t="s">
        <v>21</v>
      </c>
      <c r="D269" t="s">
        <v>16</v>
      </c>
      <c r="E269">
        <v>2</v>
      </c>
      <c r="F269" t="s">
        <v>33</v>
      </c>
      <c r="G269">
        <v>3</v>
      </c>
      <c r="H269" t="s">
        <v>18</v>
      </c>
      <c r="I269">
        <v>1</v>
      </c>
      <c r="J269">
        <v>25.601290339999998</v>
      </c>
      <c r="K269">
        <v>52.074314229999999</v>
      </c>
      <c r="L269">
        <v>0.73491972400000005</v>
      </c>
      <c r="M269">
        <v>4</v>
      </c>
      <c r="N269">
        <v>-1.1891132950000001</v>
      </c>
    </row>
    <row r="270" spans="1:14" x14ac:dyDescent="0.3">
      <c r="A270" t="s">
        <v>92</v>
      </c>
      <c r="B270">
        <v>68</v>
      </c>
      <c r="C270" t="s">
        <v>15</v>
      </c>
      <c r="D270" t="s">
        <v>16</v>
      </c>
      <c r="E270">
        <v>2</v>
      </c>
      <c r="F270" t="s">
        <v>33</v>
      </c>
      <c r="G270">
        <v>3</v>
      </c>
      <c r="H270" t="s">
        <v>18</v>
      </c>
      <c r="I270">
        <v>1</v>
      </c>
      <c r="J270">
        <v>21.938934400000001</v>
      </c>
      <c r="K270">
        <v>42.214112370000002</v>
      </c>
      <c r="L270">
        <v>0.89683506800000001</v>
      </c>
      <c r="M270">
        <v>1</v>
      </c>
      <c r="N270">
        <v>-0.331032979</v>
      </c>
    </row>
    <row r="271" spans="1:14" x14ac:dyDescent="0.3">
      <c r="A271" t="s">
        <v>92</v>
      </c>
      <c r="B271">
        <v>68</v>
      </c>
      <c r="C271" t="s">
        <v>19</v>
      </c>
      <c r="D271" t="s">
        <v>16</v>
      </c>
      <c r="E271">
        <v>2</v>
      </c>
      <c r="F271" t="s">
        <v>33</v>
      </c>
      <c r="G271">
        <v>3</v>
      </c>
      <c r="H271" t="s">
        <v>18</v>
      </c>
      <c r="I271">
        <v>1</v>
      </c>
      <c r="J271">
        <v>21.938934400000001</v>
      </c>
      <c r="K271">
        <v>45.029008429999998</v>
      </c>
      <c r="L271">
        <v>0.65282852099999999</v>
      </c>
      <c r="M271">
        <v>2</v>
      </c>
      <c r="N271">
        <v>-0.93982932699999999</v>
      </c>
    </row>
    <row r="272" spans="1:14" x14ac:dyDescent="0.3">
      <c r="A272" t="s">
        <v>92</v>
      </c>
      <c r="B272">
        <v>68</v>
      </c>
      <c r="C272" t="s">
        <v>20</v>
      </c>
      <c r="D272" t="s">
        <v>16</v>
      </c>
      <c r="E272">
        <v>2</v>
      </c>
      <c r="F272" t="s">
        <v>33</v>
      </c>
      <c r="G272">
        <v>3</v>
      </c>
      <c r="H272" t="s">
        <v>18</v>
      </c>
      <c r="I272">
        <v>1</v>
      </c>
      <c r="J272">
        <v>21.938934400000001</v>
      </c>
      <c r="L272">
        <v>0.21787134499999999</v>
      </c>
      <c r="M272">
        <v>3</v>
      </c>
      <c r="N272">
        <v>-0.25893258299999999</v>
      </c>
    </row>
    <row r="273" spans="1:14" x14ac:dyDescent="0.3">
      <c r="A273" t="s">
        <v>92</v>
      </c>
      <c r="B273">
        <v>68</v>
      </c>
      <c r="C273" t="s">
        <v>21</v>
      </c>
      <c r="D273" t="s">
        <v>16</v>
      </c>
      <c r="E273">
        <v>2</v>
      </c>
      <c r="F273" t="s">
        <v>33</v>
      </c>
      <c r="G273">
        <v>3</v>
      </c>
      <c r="H273" t="s">
        <v>18</v>
      </c>
      <c r="I273">
        <v>1</v>
      </c>
      <c r="J273">
        <v>21.938934400000001</v>
      </c>
      <c r="L273">
        <v>0.35427825400000001</v>
      </c>
      <c r="M273">
        <v>4</v>
      </c>
      <c r="N273">
        <v>0.394379168</v>
      </c>
    </row>
    <row r="274" spans="1:14" x14ac:dyDescent="0.3">
      <c r="A274" t="s">
        <v>93</v>
      </c>
      <c r="B274">
        <v>69</v>
      </c>
      <c r="C274" t="s">
        <v>15</v>
      </c>
      <c r="D274" t="s">
        <v>23</v>
      </c>
      <c r="E274">
        <v>1</v>
      </c>
      <c r="F274" t="s">
        <v>17</v>
      </c>
      <c r="G274">
        <v>2</v>
      </c>
      <c r="H274" t="s">
        <v>25</v>
      </c>
      <c r="I274">
        <v>0</v>
      </c>
      <c r="J274">
        <v>51.741896779999998</v>
      </c>
      <c r="K274">
        <v>30.98337506</v>
      </c>
      <c r="L274">
        <v>0.22478311300000001</v>
      </c>
      <c r="M274">
        <v>1</v>
      </c>
      <c r="N274">
        <v>-0.85185709200000004</v>
      </c>
    </row>
    <row r="275" spans="1:14" x14ac:dyDescent="0.3">
      <c r="A275" t="s">
        <v>93</v>
      </c>
      <c r="B275">
        <v>69</v>
      </c>
      <c r="C275" t="s">
        <v>19</v>
      </c>
      <c r="D275" t="s">
        <v>23</v>
      </c>
      <c r="E275">
        <v>1</v>
      </c>
      <c r="F275" t="s">
        <v>17</v>
      </c>
      <c r="G275">
        <v>2</v>
      </c>
      <c r="H275" t="s">
        <v>25</v>
      </c>
      <c r="I275">
        <v>0</v>
      </c>
      <c r="J275">
        <v>51.741896779999998</v>
      </c>
      <c r="K275">
        <v>44.729319189999998</v>
      </c>
      <c r="L275">
        <v>0.896202838</v>
      </c>
      <c r="M275">
        <v>2</v>
      </c>
      <c r="N275">
        <v>2.6491668810000002</v>
      </c>
    </row>
    <row r="276" spans="1:14" x14ac:dyDescent="0.3">
      <c r="A276" t="s">
        <v>93</v>
      </c>
      <c r="B276">
        <v>69</v>
      </c>
      <c r="C276" t="s">
        <v>20</v>
      </c>
      <c r="D276" t="s">
        <v>23</v>
      </c>
      <c r="E276">
        <v>1</v>
      </c>
      <c r="F276" t="s">
        <v>17</v>
      </c>
      <c r="G276">
        <v>2</v>
      </c>
      <c r="H276" t="s">
        <v>25</v>
      </c>
      <c r="I276">
        <v>0</v>
      </c>
      <c r="J276">
        <v>51.741896779999998</v>
      </c>
      <c r="K276">
        <v>40.68710901</v>
      </c>
      <c r="L276">
        <v>0.69858181799999997</v>
      </c>
      <c r="M276">
        <v>3</v>
      </c>
      <c r="N276">
        <v>0.15601167599999999</v>
      </c>
    </row>
    <row r="277" spans="1:14" x14ac:dyDescent="0.3">
      <c r="A277" t="s">
        <v>93</v>
      </c>
      <c r="B277">
        <v>69</v>
      </c>
      <c r="C277" t="s">
        <v>21</v>
      </c>
      <c r="D277" t="s">
        <v>23</v>
      </c>
      <c r="E277">
        <v>1</v>
      </c>
      <c r="F277" t="s">
        <v>17</v>
      </c>
      <c r="G277">
        <v>2</v>
      </c>
      <c r="H277" t="s">
        <v>25</v>
      </c>
      <c r="I277">
        <v>0</v>
      </c>
      <c r="J277">
        <v>51.741896779999998</v>
      </c>
      <c r="K277">
        <v>34.715298509999997</v>
      </c>
      <c r="L277">
        <v>0.41443147200000002</v>
      </c>
      <c r="M277">
        <v>4</v>
      </c>
      <c r="N277">
        <v>1.1302072670000001</v>
      </c>
    </row>
    <row r="278" spans="1:14" x14ac:dyDescent="0.3">
      <c r="A278" t="s">
        <v>94</v>
      </c>
      <c r="B278">
        <v>70</v>
      </c>
      <c r="C278" t="s">
        <v>15</v>
      </c>
      <c r="D278" t="s">
        <v>23</v>
      </c>
      <c r="E278">
        <v>1</v>
      </c>
      <c r="F278" t="s">
        <v>17</v>
      </c>
      <c r="G278">
        <v>2</v>
      </c>
      <c r="H278" t="s">
        <v>25</v>
      </c>
      <c r="I278">
        <v>0</v>
      </c>
      <c r="J278">
        <v>43.348050970000003</v>
      </c>
      <c r="K278">
        <v>27.30752481</v>
      </c>
      <c r="L278">
        <v>0.54111305799999998</v>
      </c>
      <c r="M278">
        <v>1</v>
      </c>
      <c r="N278">
        <v>-2.2891239799999998</v>
      </c>
    </row>
    <row r="279" spans="1:14" x14ac:dyDescent="0.3">
      <c r="A279" t="s">
        <v>94</v>
      </c>
      <c r="B279">
        <v>70</v>
      </c>
      <c r="C279" t="s">
        <v>19</v>
      </c>
      <c r="D279" t="s">
        <v>23</v>
      </c>
      <c r="E279">
        <v>1</v>
      </c>
      <c r="F279" t="s">
        <v>17</v>
      </c>
      <c r="G279">
        <v>2</v>
      </c>
      <c r="H279" t="s">
        <v>25</v>
      </c>
      <c r="I279">
        <v>0</v>
      </c>
      <c r="J279">
        <v>43.348050970000003</v>
      </c>
      <c r="K279">
        <v>37.315845240000002</v>
      </c>
      <c r="L279">
        <v>0.12352804100000001</v>
      </c>
      <c r="M279">
        <v>2</v>
      </c>
      <c r="N279">
        <v>0.74100115700000002</v>
      </c>
    </row>
    <row r="280" spans="1:14" x14ac:dyDescent="0.3">
      <c r="A280" t="s">
        <v>94</v>
      </c>
      <c r="B280">
        <v>70</v>
      </c>
      <c r="C280" t="s">
        <v>20</v>
      </c>
      <c r="D280" t="s">
        <v>23</v>
      </c>
      <c r="E280">
        <v>1</v>
      </c>
      <c r="F280" t="s">
        <v>17</v>
      </c>
      <c r="G280">
        <v>2</v>
      </c>
      <c r="H280" t="s">
        <v>25</v>
      </c>
      <c r="I280">
        <v>0</v>
      </c>
      <c r="J280">
        <v>43.348050970000003</v>
      </c>
      <c r="L280">
        <v>0.36904160200000002</v>
      </c>
      <c r="M280">
        <v>3</v>
      </c>
      <c r="N280">
        <v>-1.31624516</v>
      </c>
    </row>
    <row r="281" spans="1:14" x14ac:dyDescent="0.3">
      <c r="A281" t="s">
        <v>94</v>
      </c>
      <c r="B281">
        <v>70</v>
      </c>
      <c r="C281" t="s">
        <v>21</v>
      </c>
      <c r="D281" t="s">
        <v>23</v>
      </c>
      <c r="E281">
        <v>1</v>
      </c>
      <c r="F281" t="s">
        <v>17</v>
      </c>
      <c r="G281">
        <v>2</v>
      </c>
      <c r="H281" t="s">
        <v>25</v>
      </c>
      <c r="I281">
        <v>0</v>
      </c>
      <c r="J281">
        <v>43.348050970000003</v>
      </c>
      <c r="K281">
        <v>44.829998570000001</v>
      </c>
      <c r="L281">
        <v>0.78670334099999994</v>
      </c>
      <c r="M281">
        <v>4</v>
      </c>
      <c r="N281">
        <v>0.91980367799999996</v>
      </c>
    </row>
    <row r="282" spans="1:14" x14ac:dyDescent="0.3">
      <c r="A282" t="s">
        <v>95</v>
      </c>
      <c r="B282">
        <v>71</v>
      </c>
      <c r="C282" t="s">
        <v>15</v>
      </c>
      <c r="D282" t="s">
        <v>16</v>
      </c>
      <c r="E282">
        <v>2</v>
      </c>
      <c r="F282" t="s">
        <v>24</v>
      </c>
      <c r="G282">
        <v>1</v>
      </c>
      <c r="H282" t="s">
        <v>25</v>
      </c>
      <c r="I282">
        <v>0</v>
      </c>
      <c r="J282">
        <v>41.143654820000002</v>
      </c>
      <c r="K282">
        <v>32.930420050000002</v>
      </c>
      <c r="L282">
        <v>0.201670509</v>
      </c>
      <c r="M282">
        <v>1</v>
      </c>
      <c r="N282">
        <v>0.39813015499999999</v>
      </c>
    </row>
    <row r="283" spans="1:14" x14ac:dyDescent="0.3">
      <c r="A283" t="s">
        <v>95</v>
      </c>
      <c r="B283">
        <v>71</v>
      </c>
      <c r="C283" t="s">
        <v>19</v>
      </c>
      <c r="D283" t="s">
        <v>16</v>
      </c>
      <c r="E283">
        <v>2</v>
      </c>
      <c r="F283" t="s">
        <v>24</v>
      </c>
      <c r="G283">
        <v>1</v>
      </c>
      <c r="H283" t="s">
        <v>25</v>
      </c>
      <c r="I283">
        <v>0</v>
      </c>
      <c r="J283">
        <v>41.143654820000002</v>
      </c>
      <c r="K283">
        <v>44.919114190000002</v>
      </c>
      <c r="L283">
        <v>0.73319558299999998</v>
      </c>
      <c r="M283">
        <v>2</v>
      </c>
      <c r="N283">
        <v>-0.407528579</v>
      </c>
    </row>
    <row r="284" spans="1:14" x14ac:dyDescent="0.3">
      <c r="A284" t="s">
        <v>95</v>
      </c>
      <c r="B284">
        <v>71</v>
      </c>
      <c r="C284" t="s">
        <v>20</v>
      </c>
      <c r="D284" t="s">
        <v>16</v>
      </c>
      <c r="E284">
        <v>2</v>
      </c>
      <c r="F284" t="s">
        <v>24</v>
      </c>
      <c r="G284">
        <v>1</v>
      </c>
      <c r="H284" t="s">
        <v>25</v>
      </c>
      <c r="I284">
        <v>0</v>
      </c>
      <c r="J284">
        <v>41.143654820000002</v>
      </c>
      <c r="K284">
        <v>45.686356779999997</v>
      </c>
      <c r="L284">
        <v>0.178305514</v>
      </c>
      <c r="M284">
        <v>3</v>
      </c>
      <c r="N284">
        <v>1.3242586300000001</v>
      </c>
    </row>
    <row r="285" spans="1:14" x14ac:dyDescent="0.3">
      <c r="A285" t="s">
        <v>95</v>
      </c>
      <c r="B285">
        <v>71</v>
      </c>
      <c r="C285" t="s">
        <v>21</v>
      </c>
      <c r="D285" t="s">
        <v>16</v>
      </c>
      <c r="E285">
        <v>2</v>
      </c>
      <c r="F285" t="s">
        <v>24</v>
      </c>
      <c r="G285">
        <v>1</v>
      </c>
      <c r="H285" t="s">
        <v>25</v>
      </c>
      <c r="I285">
        <v>0</v>
      </c>
      <c r="J285">
        <v>41.143654820000002</v>
      </c>
      <c r="K285">
        <v>65.987998660000002</v>
      </c>
      <c r="L285">
        <v>0.115322772</v>
      </c>
      <c r="M285">
        <v>4</v>
      </c>
      <c r="N285">
        <v>-0.701231669</v>
      </c>
    </row>
    <row r="286" spans="1:14" x14ac:dyDescent="0.3">
      <c r="A286" t="s">
        <v>96</v>
      </c>
      <c r="B286">
        <v>72</v>
      </c>
      <c r="C286" t="s">
        <v>15</v>
      </c>
      <c r="D286" t="s">
        <v>16</v>
      </c>
      <c r="E286">
        <v>2</v>
      </c>
      <c r="F286" t="s">
        <v>24</v>
      </c>
      <c r="G286">
        <v>1</v>
      </c>
      <c r="H286" t="s">
        <v>18</v>
      </c>
      <c r="I286">
        <v>1</v>
      </c>
      <c r="J286">
        <v>37.102864169999997</v>
      </c>
      <c r="K286">
        <v>46.60129955</v>
      </c>
      <c r="L286">
        <v>0.32081793600000003</v>
      </c>
      <c r="M286">
        <v>1</v>
      </c>
      <c r="N286">
        <v>-0.58061430400000003</v>
      </c>
    </row>
    <row r="287" spans="1:14" x14ac:dyDescent="0.3">
      <c r="A287" t="s">
        <v>96</v>
      </c>
      <c r="B287">
        <v>72</v>
      </c>
      <c r="C287" t="s">
        <v>19</v>
      </c>
      <c r="D287" t="s">
        <v>16</v>
      </c>
      <c r="E287">
        <v>2</v>
      </c>
      <c r="F287" t="s">
        <v>24</v>
      </c>
      <c r="G287">
        <v>1</v>
      </c>
      <c r="H287" t="s">
        <v>18</v>
      </c>
      <c r="I287">
        <v>1</v>
      </c>
      <c r="J287">
        <v>37.102864169999997</v>
      </c>
      <c r="K287">
        <v>40.897859799999999</v>
      </c>
      <c r="L287">
        <v>0.42892152500000003</v>
      </c>
      <c r="M287">
        <v>2</v>
      </c>
      <c r="N287">
        <v>-1.0010721810000001</v>
      </c>
    </row>
    <row r="288" spans="1:14" x14ac:dyDescent="0.3">
      <c r="A288" t="s">
        <v>96</v>
      </c>
      <c r="B288">
        <v>72</v>
      </c>
      <c r="C288" t="s">
        <v>20</v>
      </c>
      <c r="D288" t="s">
        <v>16</v>
      </c>
      <c r="E288">
        <v>2</v>
      </c>
      <c r="F288" t="s">
        <v>24</v>
      </c>
      <c r="G288">
        <v>1</v>
      </c>
      <c r="H288" t="s">
        <v>18</v>
      </c>
      <c r="I288">
        <v>1</v>
      </c>
      <c r="J288">
        <v>37.102864169999997</v>
      </c>
      <c r="K288">
        <v>46.66708319</v>
      </c>
      <c r="L288">
        <v>0.153361462</v>
      </c>
      <c r="M288">
        <v>3</v>
      </c>
      <c r="N288">
        <v>-0.66817860699999998</v>
      </c>
    </row>
    <row r="289" spans="1:14" x14ac:dyDescent="0.3">
      <c r="A289" t="s">
        <v>96</v>
      </c>
      <c r="B289">
        <v>72</v>
      </c>
      <c r="C289" t="s">
        <v>21</v>
      </c>
      <c r="D289" t="s">
        <v>16</v>
      </c>
      <c r="E289">
        <v>2</v>
      </c>
      <c r="F289" t="s">
        <v>24</v>
      </c>
      <c r="G289">
        <v>1</v>
      </c>
      <c r="H289" t="s">
        <v>18</v>
      </c>
      <c r="I289">
        <v>1</v>
      </c>
      <c r="J289">
        <v>37.102864169999997</v>
      </c>
      <c r="L289">
        <v>0.73722525100000003</v>
      </c>
      <c r="M289">
        <v>4</v>
      </c>
      <c r="N289">
        <v>0.94518495300000005</v>
      </c>
    </row>
    <row r="290" spans="1:14" x14ac:dyDescent="0.3">
      <c r="A290" t="s">
        <v>97</v>
      </c>
      <c r="B290">
        <v>73</v>
      </c>
      <c r="C290" t="s">
        <v>15</v>
      </c>
      <c r="D290" t="s">
        <v>23</v>
      </c>
      <c r="E290">
        <v>1</v>
      </c>
      <c r="F290" t="s">
        <v>33</v>
      </c>
      <c r="G290">
        <v>3</v>
      </c>
      <c r="H290" t="s">
        <v>25</v>
      </c>
      <c r="I290">
        <v>0</v>
      </c>
      <c r="J290">
        <v>43.464318220000003</v>
      </c>
      <c r="L290">
        <v>0.50506019400000002</v>
      </c>
      <c r="M290">
        <v>1</v>
      </c>
      <c r="N290">
        <v>0.43370215000000001</v>
      </c>
    </row>
    <row r="291" spans="1:14" x14ac:dyDescent="0.3">
      <c r="A291" t="s">
        <v>97</v>
      </c>
      <c r="B291">
        <v>73</v>
      </c>
      <c r="C291" t="s">
        <v>19</v>
      </c>
      <c r="D291" t="s">
        <v>23</v>
      </c>
      <c r="E291">
        <v>1</v>
      </c>
      <c r="F291" t="s">
        <v>33</v>
      </c>
      <c r="G291">
        <v>3</v>
      </c>
      <c r="H291" t="s">
        <v>25</v>
      </c>
      <c r="I291">
        <v>0</v>
      </c>
      <c r="J291">
        <v>43.464318220000003</v>
      </c>
      <c r="L291">
        <v>0.51489905499999999</v>
      </c>
      <c r="M291">
        <v>2</v>
      </c>
      <c r="N291">
        <v>1.005159218</v>
      </c>
    </row>
    <row r="292" spans="1:14" x14ac:dyDescent="0.3">
      <c r="A292" t="s">
        <v>97</v>
      </c>
      <c r="B292">
        <v>73</v>
      </c>
      <c r="C292" t="s">
        <v>20</v>
      </c>
      <c r="D292" t="s">
        <v>23</v>
      </c>
      <c r="E292">
        <v>1</v>
      </c>
      <c r="F292" t="s">
        <v>33</v>
      </c>
      <c r="G292">
        <v>3</v>
      </c>
      <c r="H292" t="s">
        <v>25</v>
      </c>
      <c r="I292">
        <v>0</v>
      </c>
      <c r="J292">
        <v>43.464318220000003</v>
      </c>
      <c r="K292">
        <v>43.83269808</v>
      </c>
      <c r="L292">
        <v>0.66436796099999995</v>
      </c>
      <c r="M292">
        <v>3</v>
      </c>
      <c r="N292">
        <v>-0.390118664</v>
      </c>
    </row>
    <row r="293" spans="1:14" x14ac:dyDescent="0.3">
      <c r="A293" t="s">
        <v>97</v>
      </c>
      <c r="B293">
        <v>73</v>
      </c>
      <c r="C293" t="s">
        <v>21</v>
      </c>
      <c r="D293" t="s">
        <v>23</v>
      </c>
      <c r="E293">
        <v>1</v>
      </c>
      <c r="F293" t="s">
        <v>33</v>
      </c>
      <c r="G293">
        <v>3</v>
      </c>
      <c r="H293" t="s">
        <v>25</v>
      </c>
      <c r="I293">
        <v>0</v>
      </c>
      <c r="J293">
        <v>43.464318220000003</v>
      </c>
      <c r="K293">
        <v>44.116037820000003</v>
      </c>
      <c r="L293">
        <v>0.76529526599999997</v>
      </c>
      <c r="M293">
        <v>4</v>
      </c>
      <c r="N293">
        <v>0.376370292</v>
      </c>
    </row>
    <row r="294" spans="1:14" x14ac:dyDescent="0.3">
      <c r="A294" t="s">
        <v>98</v>
      </c>
      <c r="B294">
        <v>74</v>
      </c>
      <c r="C294" t="s">
        <v>15</v>
      </c>
      <c r="D294" t="s">
        <v>23</v>
      </c>
      <c r="E294">
        <v>1</v>
      </c>
      <c r="F294" t="s">
        <v>33</v>
      </c>
      <c r="G294">
        <v>3</v>
      </c>
      <c r="H294" t="s">
        <v>18</v>
      </c>
      <c r="I294">
        <v>1</v>
      </c>
      <c r="J294">
        <v>35.511437960000002</v>
      </c>
      <c r="K294">
        <v>38.296117049999999</v>
      </c>
      <c r="L294">
        <v>0.148717144</v>
      </c>
      <c r="M294">
        <v>1</v>
      </c>
      <c r="N294">
        <v>0.24416492400000001</v>
      </c>
    </row>
    <row r="295" spans="1:14" x14ac:dyDescent="0.3">
      <c r="A295" t="s">
        <v>98</v>
      </c>
      <c r="B295">
        <v>74</v>
      </c>
      <c r="C295" t="s">
        <v>19</v>
      </c>
      <c r="D295" t="s">
        <v>23</v>
      </c>
      <c r="E295">
        <v>1</v>
      </c>
      <c r="F295" t="s">
        <v>33</v>
      </c>
      <c r="G295">
        <v>3</v>
      </c>
      <c r="H295" t="s">
        <v>18</v>
      </c>
      <c r="I295">
        <v>1</v>
      </c>
      <c r="J295">
        <v>35.511437960000002</v>
      </c>
      <c r="L295">
        <v>0.369468621</v>
      </c>
      <c r="M295">
        <v>2</v>
      </c>
      <c r="N295">
        <v>-1.426257342</v>
      </c>
    </row>
    <row r="296" spans="1:14" x14ac:dyDescent="0.3">
      <c r="A296" t="s">
        <v>98</v>
      </c>
      <c r="B296">
        <v>74</v>
      </c>
      <c r="C296" t="s">
        <v>20</v>
      </c>
      <c r="D296" t="s">
        <v>23</v>
      </c>
      <c r="E296">
        <v>1</v>
      </c>
      <c r="F296" t="s">
        <v>33</v>
      </c>
      <c r="G296">
        <v>3</v>
      </c>
      <c r="H296" t="s">
        <v>18</v>
      </c>
      <c r="I296">
        <v>1</v>
      </c>
      <c r="J296">
        <v>35.511437960000002</v>
      </c>
      <c r="K296">
        <v>51.385702010000003</v>
      </c>
      <c r="L296">
        <v>0.74179276999999999</v>
      </c>
      <c r="M296">
        <v>3</v>
      </c>
      <c r="N296">
        <v>1.778429287</v>
      </c>
    </row>
    <row r="297" spans="1:14" x14ac:dyDescent="0.3">
      <c r="A297" t="s">
        <v>98</v>
      </c>
      <c r="B297">
        <v>74</v>
      </c>
      <c r="C297" t="s">
        <v>21</v>
      </c>
      <c r="D297" t="s">
        <v>23</v>
      </c>
      <c r="E297">
        <v>1</v>
      </c>
      <c r="F297" t="s">
        <v>33</v>
      </c>
      <c r="G297">
        <v>3</v>
      </c>
      <c r="H297" t="s">
        <v>18</v>
      </c>
      <c r="I297">
        <v>1</v>
      </c>
      <c r="J297">
        <v>35.511437960000002</v>
      </c>
      <c r="K297">
        <v>56.209792540000002</v>
      </c>
      <c r="L297">
        <v>0.32680202899999999</v>
      </c>
      <c r="M297">
        <v>4</v>
      </c>
      <c r="N297">
        <v>0.134447661</v>
      </c>
    </row>
    <row r="298" spans="1:14" x14ac:dyDescent="0.3">
      <c r="A298" t="s">
        <v>99</v>
      </c>
      <c r="B298">
        <v>75</v>
      </c>
      <c r="C298" t="s">
        <v>15</v>
      </c>
      <c r="D298" t="s">
        <v>23</v>
      </c>
      <c r="E298">
        <v>1</v>
      </c>
      <c r="F298" t="s">
        <v>33</v>
      </c>
      <c r="G298">
        <v>3</v>
      </c>
      <c r="H298" t="s">
        <v>25</v>
      </c>
      <c r="I298">
        <v>0</v>
      </c>
      <c r="J298">
        <v>31.247727009999998</v>
      </c>
      <c r="L298">
        <v>0.75190171500000003</v>
      </c>
      <c r="M298">
        <v>1</v>
      </c>
      <c r="N298">
        <v>0.76559899899999995</v>
      </c>
    </row>
    <row r="299" spans="1:14" x14ac:dyDescent="0.3">
      <c r="A299" t="s">
        <v>99</v>
      </c>
      <c r="B299">
        <v>75</v>
      </c>
      <c r="C299" t="s">
        <v>19</v>
      </c>
      <c r="D299" t="s">
        <v>23</v>
      </c>
      <c r="E299">
        <v>1</v>
      </c>
      <c r="F299" t="s">
        <v>33</v>
      </c>
      <c r="G299">
        <v>3</v>
      </c>
      <c r="H299" t="s">
        <v>25</v>
      </c>
      <c r="I299">
        <v>0</v>
      </c>
      <c r="J299">
        <v>31.247727009999998</v>
      </c>
      <c r="K299">
        <v>43.458191939999999</v>
      </c>
      <c r="L299">
        <v>0.27206649100000002</v>
      </c>
      <c r="M299">
        <v>2</v>
      </c>
      <c r="N299">
        <v>0.95513667700000005</v>
      </c>
    </row>
    <row r="300" spans="1:14" x14ac:dyDescent="0.3">
      <c r="A300" t="s">
        <v>99</v>
      </c>
      <c r="B300">
        <v>75</v>
      </c>
      <c r="C300" t="s">
        <v>20</v>
      </c>
      <c r="D300" t="s">
        <v>23</v>
      </c>
      <c r="E300">
        <v>1</v>
      </c>
      <c r="F300" t="s">
        <v>33</v>
      </c>
      <c r="G300">
        <v>3</v>
      </c>
      <c r="H300" t="s">
        <v>25</v>
      </c>
      <c r="I300">
        <v>0</v>
      </c>
      <c r="J300">
        <v>31.247727009999998</v>
      </c>
      <c r="K300">
        <v>38.387411890000003</v>
      </c>
      <c r="L300">
        <v>0.54412227099999999</v>
      </c>
      <c r="M300">
        <v>3</v>
      </c>
      <c r="N300">
        <v>-5.0565700999999998E-2</v>
      </c>
    </row>
    <row r="301" spans="1:14" x14ac:dyDescent="0.3">
      <c r="A301" t="s">
        <v>99</v>
      </c>
      <c r="B301">
        <v>75</v>
      </c>
      <c r="C301" t="s">
        <v>21</v>
      </c>
      <c r="D301" t="s">
        <v>23</v>
      </c>
      <c r="E301">
        <v>1</v>
      </c>
      <c r="F301" t="s">
        <v>33</v>
      </c>
      <c r="G301">
        <v>3</v>
      </c>
      <c r="H301" t="s">
        <v>25</v>
      </c>
      <c r="I301">
        <v>0</v>
      </c>
      <c r="J301">
        <v>31.247727009999998</v>
      </c>
      <c r="K301">
        <v>56.428178860000003</v>
      </c>
      <c r="L301">
        <v>0.11242216100000001</v>
      </c>
      <c r="M301">
        <v>4</v>
      </c>
      <c r="N301">
        <v>-0.30581542</v>
      </c>
    </row>
    <row r="302" spans="1:14" x14ac:dyDescent="0.3">
      <c r="A302" t="s">
        <v>100</v>
      </c>
      <c r="B302">
        <v>76</v>
      </c>
      <c r="C302" t="s">
        <v>15</v>
      </c>
      <c r="D302" t="s">
        <v>16</v>
      </c>
      <c r="E302">
        <v>2</v>
      </c>
      <c r="F302" t="s">
        <v>33</v>
      </c>
      <c r="G302">
        <v>3</v>
      </c>
      <c r="H302" t="s">
        <v>25</v>
      </c>
      <c r="I302">
        <v>0</v>
      </c>
      <c r="J302">
        <v>35.618713530000001</v>
      </c>
      <c r="K302">
        <v>39.050495390000002</v>
      </c>
      <c r="L302">
        <v>0.14215065299999999</v>
      </c>
      <c r="M302">
        <v>1</v>
      </c>
      <c r="N302">
        <v>0.89367370199999996</v>
      </c>
    </row>
    <row r="303" spans="1:14" x14ac:dyDescent="0.3">
      <c r="A303" t="s">
        <v>100</v>
      </c>
      <c r="B303">
        <v>76</v>
      </c>
      <c r="C303" t="s">
        <v>19</v>
      </c>
      <c r="D303" t="s">
        <v>16</v>
      </c>
      <c r="E303">
        <v>2</v>
      </c>
      <c r="F303" t="s">
        <v>33</v>
      </c>
      <c r="G303">
        <v>3</v>
      </c>
      <c r="H303" t="s">
        <v>25</v>
      </c>
      <c r="I303">
        <v>0</v>
      </c>
      <c r="J303">
        <v>35.618713530000001</v>
      </c>
      <c r="L303">
        <v>0.57892582500000001</v>
      </c>
      <c r="M303">
        <v>2</v>
      </c>
      <c r="N303">
        <v>-1.047298149</v>
      </c>
    </row>
    <row r="304" spans="1:14" x14ac:dyDescent="0.3">
      <c r="A304" t="s">
        <v>100</v>
      </c>
      <c r="B304">
        <v>76</v>
      </c>
      <c r="C304" t="s">
        <v>20</v>
      </c>
      <c r="D304" t="s">
        <v>16</v>
      </c>
      <c r="E304">
        <v>2</v>
      </c>
      <c r="F304" t="s">
        <v>33</v>
      </c>
      <c r="G304">
        <v>3</v>
      </c>
      <c r="H304" t="s">
        <v>25</v>
      </c>
      <c r="I304">
        <v>0</v>
      </c>
      <c r="J304">
        <v>35.618713530000001</v>
      </c>
      <c r="L304">
        <v>0.66663251700000004</v>
      </c>
      <c r="M304">
        <v>3</v>
      </c>
      <c r="N304">
        <v>1.9713373860000001</v>
      </c>
    </row>
    <row r="305" spans="1:14" x14ac:dyDescent="0.3">
      <c r="A305" t="s">
        <v>100</v>
      </c>
      <c r="B305">
        <v>76</v>
      </c>
      <c r="C305" t="s">
        <v>21</v>
      </c>
      <c r="D305" t="s">
        <v>16</v>
      </c>
      <c r="E305">
        <v>2</v>
      </c>
      <c r="F305" t="s">
        <v>33</v>
      </c>
      <c r="G305">
        <v>3</v>
      </c>
      <c r="H305" t="s">
        <v>25</v>
      </c>
      <c r="I305">
        <v>0</v>
      </c>
      <c r="J305">
        <v>35.618713530000001</v>
      </c>
      <c r="K305">
        <v>54.092000429999999</v>
      </c>
      <c r="L305">
        <v>0.62275252800000003</v>
      </c>
      <c r="M305">
        <v>4</v>
      </c>
      <c r="N305">
        <v>-0.38363210599999997</v>
      </c>
    </row>
    <row r="306" spans="1:14" x14ac:dyDescent="0.3">
      <c r="A306" t="s">
        <v>101</v>
      </c>
      <c r="B306">
        <v>77</v>
      </c>
      <c r="C306" t="s">
        <v>15</v>
      </c>
      <c r="D306" t="s">
        <v>16</v>
      </c>
      <c r="E306">
        <v>2</v>
      </c>
      <c r="F306" t="s">
        <v>24</v>
      </c>
      <c r="G306">
        <v>1</v>
      </c>
      <c r="H306" t="s">
        <v>25</v>
      </c>
      <c r="I306">
        <v>0</v>
      </c>
      <c r="J306">
        <v>33.275382110000002</v>
      </c>
      <c r="K306">
        <v>31.40520682</v>
      </c>
      <c r="L306">
        <v>0.561931175</v>
      </c>
      <c r="M306">
        <v>1</v>
      </c>
      <c r="N306">
        <v>1.6541453020000001</v>
      </c>
    </row>
    <row r="307" spans="1:14" x14ac:dyDescent="0.3">
      <c r="A307" t="s">
        <v>101</v>
      </c>
      <c r="B307">
        <v>77</v>
      </c>
      <c r="C307" t="s">
        <v>19</v>
      </c>
      <c r="D307" t="s">
        <v>16</v>
      </c>
      <c r="E307">
        <v>2</v>
      </c>
      <c r="F307" t="s">
        <v>24</v>
      </c>
      <c r="G307">
        <v>1</v>
      </c>
      <c r="H307" t="s">
        <v>25</v>
      </c>
      <c r="I307">
        <v>0</v>
      </c>
      <c r="J307">
        <v>33.275382110000002</v>
      </c>
      <c r="K307">
        <v>46.133296489999999</v>
      </c>
      <c r="L307">
        <v>0.64262842600000003</v>
      </c>
      <c r="M307">
        <v>2</v>
      </c>
      <c r="N307">
        <v>1.512212694</v>
      </c>
    </row>
    <row r="308" spans="1:14" x14ac:dyDescent="0.3">
      <c r="A308" t="s">
        <v>101</v>
      </c>
      <c r="B308">
        <v>77</v>
      </c>
      <c r="C308" t="s">
        <v>20</v>
      </c>
      <c r="D308" t="s">
        <v>16</v>
      </c>
      <c r="E308">
        <v>2</v>
      </c>
      <c r="F308" t="s">
        <v>24</v>
      </c>
      <c r="G308">
        <v>1</v>
      </c>
      <c r="H308" t="s">
        <v>25</v>
      </c>
      <c r="I308">
        <v>0</v>
      </c>
      <c r="J308">
        <v>33.275382110000002</v>
      </c>
      <c r="K308">
        <v>45.298445899999997</v>
      </c>
      <c r="L308">
        <v>0.26798230899999997</v>
      </c>
      <c r="M308">
        <v>3</v>
      </c>
      <c r="N308">
        <v>8.2965733999999999E-2</v>
      </c>
    </row>
    <row r="309" spans="1:14" x14ac:dyDescent="0.3">
      <c r="A309" t="s">
        <v>101</v>
      </c>
      <c r="B309">
        <v>77</v>
      </c>
      <c r="C309" t="s">
        <v>21</v>
      </c>
      <c r="D309" t="s">
        <v>16</v>
      </c>
      <c r="E309">
        <v>2</v>
      </c>
      <c r="F309" t="s">
        <v>24</v>
      </c>
      <c r="G309">
        <v>1</v>
      </c>
      <c r="H309" t="s">
        <v>25</v>
      </c>
      <c r="I309">
        <v>0</v>
      </c>
      <c r="J309">
        <v>33.275382110000002</v>
      </c>
      <c r="K309">
        <v>28.069356209999999</v>
      </c>
      <c r="L309">
        <v>0.28958408400000002</v>
      </c>
      <c r="M309">
        <v>4</v>
      </c>
      <c r="N309">
        <v>0.56722091500000005</v>
      </c>
    </row>
    <row r="310" spans="1:14" x14ac:dyDescent="0.3">
      <c r="A310" t="s">
        <v>102</v>
      </c>
      <c r="B310">
        <v>78</v>
      </c>
      <c r="C310" t="s">
        <v>15</v>
      </c>
      <c r="D310" t="s">
        <v>16</v>
      </c>
      <c r="E310">
        <v>2</v>
      </c>
      <c r="F310" t="s">
        <v>33</v>
      </c>
      <c r="G310">
        <v>3</v>
      </c>
      <c r="H310" t="s">
        <v>18</v>
      </c>
      <c r="I310">
        <v>1</v>
      </c>
      <c r="J310">
        <v>37.024704110000002</v>
      </c>
      <c r="L310">
        <v>0.46540021399999998</v>
      </c>
      <c r="M310">
        <v>1</v>
      </c>
      <c r="N310">
        <v>-1.02454848</v>
      </c>
    </row>
    <row r="311" spans="1:14" x14ac:dyDescent="0.3">
      <c r="A311" t="s">
        <v>102</v>
      </c>
      <c r="B311">
        <v>78</v>
      </c>
      <c r="C311" t="s">
        <v>19</v>
      </c>
      <c r="D311" t="s">
        <v>16</v>
      </c>
      <c r="E311">
        <v>2</v>
      </c>
      <c r="F311" t="s">
        <v>33</v>
      </c>
      <c r="G311">
        <v>3</v>
      </c>
      <c r="H311" t="s">
        <v>18</v>
      </c>
      <c r="I311">
        <v>1</v>
      </c>
      <c r="J311">
        <v>37.024704110000002</v>
      </c>
      <c r="K311">
        <v>42.502827119999999</v>
      </c>
      <c r="L311">
        <v>0.372121062</v>
      </c>
      <c r="M311">
        <v>2</v>
      </c>
      <c r="N311">
        <v>0.323006503</v>
      </c>
    </row>
    <row r="312" spans="1:14" x14ac:dyDescent="0.3">
      <c r="A312" t="s">
        <v>102</v>
      </c>
      <c r="B312">
        <v>78</v>
      </c>
      <c r="C312" t="s">
        <v>20</v>
      </c>
      <c r="D312" t="s">
        <v>16</v>
      </c>
      <c r="E312">
        <v>2</v>
      </c>
      <c r="F312" t="s">
        <v>33</v>
      </c>
      <c r="G312">
        <v>3</v>
      </c>
      <c r="H312" t="s">
        <v>18</v>
      </c>
      <c r="I312">
        <v>1</v>
      </c>
      <c r="J312">
        <v>37.024704110000002</v>
      </c>
      <c r="K312">
        <v>46.453678629999999</v>
      </c>
      <c r="L312">
        <v>0.42074214900000001</v>
      </c>
      <c r="M312">
        <v>3</v>
      </c>
      <c r="N312">
        <v>1.0436124579999999</v>
      </c>
    </row>
    <row r="313" spans="1:14" x14ac:dyDescent="0.3">
      <c r="A313" t="s">
        <v>102</v>
      </c>
      <c r="B313">
        <v>78</v>
      </c>
      <c r="C313" t="s">
        <v>21</v>
      </c>
      <c r="D313" t="s">
        <v>16</v>
      </c>
      <c r="E313">
        <v>2</v>
      </c>
      <c r="F313" t="s">
        <v>33</v>
      </c>
      <c r="G313">
        <v>3</v>
      </c>
      <c r="H313" t="s">
        <v>18</v>
      </c>
      <c r="I313">
        <v>1</v>
      </c>
      <c r="J313">
        <v>37.024704110000002</v>
      </c>
      <c r="K313">
        <v>64.973663490000007</v>
      </c>
      <c r="L313">
        <v>0.44535377599999998</v>
      </c>
      <c r="M313">
        <v>4</v>
      </c>
      <c r="N313">
        <v>9.9078487000000007E-2</v>
      </c>
    </row>
    <row r="314" spans="1:14" x14ac:dyDescent="0.3">
      <c r="A314" t="s">
        <v>103</v>
      </c>
      <c r="B314">
        <v>79</v>
      </c>
      <c r="C314" t="s">
        <v>15</v>
      </c>
      <c r="D314" t="s">
        <v>23</v>
      </c>
      <c r="E314">
        <v>1</v>
      </c>
      <c r="F314" t="s">
        <v>24</v>
      </c>
      <c r="G314">
        <v>1</v>
      </c>
      <c r="H314" t="s">
        <v>18</v>
      </c>
      <c r="I314">
        <v>1</v>
      </c>
      <c r="J314">
        <v>41.272469430000001</v>
      </c>
      <c r="L314">
        <v>0.86429844899999997</v>
      </c>
      <c r="M314">
        <v>1</v>
      </c>
      <c r="N314">
        <v>-0.45413690899999998</v>
      </c>
    </row>
    <row r="315" spans="1:14" x14ac:dyDescent="0.3">
      <c r="A315" t="s">
        <v>103</v>
      </c>
      <c r="B315">
        <v>79</v>
      </c>
      <c r="C315" t="s">
        <v>19</v>
      </c>
      <c r="D315" t="s">
        <v>23</v>
      </c>
      <c r="E315">
        <v>1</v>
      </c>
      <c r="F315" t="s">
        <v>24</v>
      </c>
      <c r="G315">
        <v>1</v>
      </c>
      <c r="H315" t="s">
        <v>18</v>
      </c>
      <c r="I315">
        <v>1</v>
      </c>
      <c r="J315">
        <v>41.272469430000001</v>
      </c>
      <c r="L315">
        <v>0.27782325699999999</v>
      </c>
      <c r="M315">
        <v>2</v>
      </c>
      <c r="N315">
        <v>-0.65578185200000005</v>
      </c>
    </row>
    <row r="316" spans="1:14" x14ac:dyDescent="0.3">
      <c r="A316" t="s">
        <v>103</v>
      </c>
      <c r="B316">
        <v>79</v>
      </c>
      <c r="C316" t="s">
        <v>20</v>
      </c>
      <c r="D316" t="s">
        <v>23</v>
      </c>
      <c r="E316">
        <v>1</v>
      </c>
      <c r="F316" t="s">
        <v>24</v>
      </c>
      <c r="G316">
        <v>1</v>
      </c>
      <c r="H316" t="s">
        <v>18</v>
      </c>
      <c r="I316">
        <v>1</v>
      </c>
      <c r="J316">
        <v>41.272469430000001</v>
      </c>
      <c r="L316">
        <v>0.39224863399999998</v>
      </c>
      <c r="M316">
        <v>3</v>
      </c>
      <c r="N316">
        <v>-3.5922423000000002E-2</v>
      </c>
    </row>
    <row r="317" spans="1:14" x14ac:dyDescent="0.3">
      <c r="A317" t="s">
        <v>103</v>
      </c>
      <c r="B317">
        <v>79</v>
      </c>
      <c r="C317" t="s">
        <v>21</v>
      </c>
      <c r="D317" t="s">
        <v>23</v>
      </c>
      <c r="E317">
        <v>1</v>
      </c>
      <c r="F317" t="s">
        <v>24</v>
      </c>
      <c r="G317">
        <v>1</v>
      </c>
      <c r="H317" t="s">
        <v>18</v>
      </c>
      <c r="I317">
        <v>1</v>
      </c>
      <c r="J317">
        <v>41.272469430000001</v>
      </c>
      <c r="K317">
        <v>43.978466820000001</v>
      </c>
      <c r="L317">
        <v>0.80598029100000002</v>
      </c>
      <c r="M317">
        <v>4</v>
      </c>
      <c r="N317">
        <v>1.069161461</v>
      </c>
    </row>
    <row r="318" spans="1:14" x14ac:dyDescent="0.3">
      <c r="A318" t="s">
        <v>104</v>
      </c>
      <c r="B318">
        <v>80</v>
      </c>
      <c r="C318" t="s">
        <v>15</v>
      </c>
      <c r="D318" t="s">
        <v>16</v>
      </c>
      <c r="E318">
        <v>2</v>
      </c>
      <c r="F318" t="s">
        <v>24</v>
      </c>
      <c r="G318">
        <v>1</v>
      </c>
      <c r="H318" t="s">
        <v>25</v>
      </c>
      <c r="I318">
        <v>0</v>
      </c>
      <c r="J318">
        <v>50.338269320000002</v>
      </c>
      <c r="K318">
        <v>35.334664220000001</v>
      </c>
      <c r="L318">
        <v>0.52161316800000002</v>
      </c>
      <c r="M318">
        <v>1</v>
      </c>
      <c r="N318">
        <v>-0.48397493000000003</v>
      </c>
    </row>
    <row r="319" spans="1:14" x14ac:dyDescent="0.3">
      <c r="A319" t="s">
        <v>104</v>
      </c>
      <c r="B319">
        <v>80</v>
      </c>
      <c r="C319" t="s">
        <v>19</v>
      </c>
      <c r="D319" t="s">
        <v>16</v>
      </c>
      <c r="E319">
        <v>2</v>
      </c>
      <c r="F319" t="s">
        <v>24</v>
      </c>
      <c r="G319">
        <v>1</v>
      </c>
      <c r="H319" t="s">
        <v>25</v>
      </c>
      <c r="I319">
        <v>0</v>
      </c>
      <c r="J319">
        <v>50.338269320000002</v>
      </c>
      <c r="K319">
        <v>39.343782449999999</v>
      </c>
      <c r="L319">
        <v>0.56857017600000004</v>
      </c>
      <c r="M319">
        <v>2</v>
      </c>
      <c r="N319">
        <v>-0.121010111</v>
      </c>
    </row>
    <row r="320" spans="1:14" x14ac:dyDescent="0.3">
      <c r="A320" t="s">
        <v>104</v>
      </c>
      <c r="B320">
        <v>80</v>
      </c>
      <c r="C320" t="s">
        <v>20</v>
      </c>
      <c r="D320" t="s">
        <v>16</v>
      </c>
      <c r="E320">
        <v>2</v>
      </c>
      <c r="F320" t="s">
        <v>24</v>
      </c>
      <c r="G320">
        <v>1</v>
      </c>
      <c r="H320" t="s">
        <v>25</v>
      </c>
      <c r="I320">
        <v>0</v>
      </c>
      <c r="J320">
        <v>50.338269320000002</v>
      </c>
      <c r="K320">
        <v>41.276330729999998</v>
      </c>
      <c r="L320">
        <v>0.30612971</v>
      </c>
      <c r="M320">
        <v>3</v>
      </c>
      <c r="N320">
        <v>-1.294140004</v>
      </c>
    </row>
    <row r="321" spans="1:14" x14ac:dyDescent="0.3">
      <c r="A321" t="s">
        <v>104</v>
      </c>
      <c r="B321">
        <v>80</v>
      </c>
      <c r="C321" t="s">
        <v>21</v>
      </c>
      <c r="D321" t="s">
        <v>16</v>
      </c>
      <c r="E321">
        <v>2</v>
      </c>
      <c r="F321" t="s">
        <v>24</v>
      </c>
      <c r="G321">
        <v>1</v>
      </c>
      <c r="H321" t="s">
        <v>25</v>
      </c>
      <c r="I321">
        <v>0</v>
      </c>
      <c r="J321">
        <v>50.338269320000002</v>
      </c>
      <c r="L321">
        <v>0.795095196</v>
      </c>
      <c r="M321">
        <v>4</v>
      </c>
      <c r="N321">
        <v>0.49431283599999998</v>
      </c>
    </row>
    <row r="322" spans="1:14" x14ac:dyDescent="0.3">
      <c r="A322" t="s">
        <v>105</v>
      </c>
      <c r="B322">
        <v>81</v>
      </c>
      <c r="C322" t="s">
        <v>15</v>
      </c>
      <c r="D322" t="s">
        <v>23</v>
      </c>
      <c r="E322">
        <v>1</v>
      </c>
      <c r="F322" t="s">
        <v>33</v>
      </c>
      <c r="G322">
        <v>3</v>
      </c>
      <c r="H322" t="s">
        <v>25</v>
      </c>
      <c r="I322">
        <v>0</v>
      </c>
      <c r="J322">
        <v>34.293489860000001</v>
      </c>
      <c r="L322">
        <v>0.35032236500000002</v>
      </c>
      <c r="M322">
        <v>1</v>
      </c>
      <c r="N322">
        <v>1.3079015199999999</v>
      </c>
    </row>
    <row r="323" spans="1:14" x14ac:dyDescent="0.3">
      <c r="A323" t="s">
        <v>105</v>
      </c>
      <c r="B323">
        <v>81</v>
      </c>
      <c r="C323" t="s">
        <v>19</v>
      </c>
      <c r="D323" t="s">
        <v>23</v>
      </c>
      <c r="E323">
        <v>1</v>
      </c>
      <c r="F323" t="s">
        <v>33</v>
      </c>
      <c r="G323">
        <v>3</v>
      </c>
      <c r="H323" t="s">
        <v>25</v>
      </c>
      <c r="I323">
        <v>0</v>
      </c>
      <c r="J323">
        <v>34.293489860000001</v>
      </c>
      <c r="K323">
        <v>39.830583849999996</v>
      </c>
      <c r="L323">
        <v>0.63828812700000004</v>
      </c>
      <c r="M323">
        <v>2</v>
      </c>
      <c r="N323">
        <v>1.4970410089999999</v>
      </c>
    </row>
    <row r="324" spans="1:14" x14ac:dyDescent="0.3">
      <c r="A324" t="s">
        <v>105</v>
      </c>
      <c r="B324">
        <v>81</v>
      </c>
      <c r="C324" t="s">
        <v>20</v>
      </c>
      <c r="D324" t="s">
        <v>23</v>
      </c>
      <c r="E324">
        <v>1</v>
      </c>
      <c r="F324" t="s">
        <v>33</v>
      </c>
      <c r="G324">
        <v>3</v>
      </c>
      <c r="H324" t="s">
        <v>25</v>
      </c>
      <c r="I324">
        <v>0</v>
      </c>
      <c r="J324">
        <v>34.293489860000001</v>
      </c>
      <c r="K324">
        <v>43.496732629999997</v>
      </c>
      <c r="L324">
        <v>0.59529015900000004</v>
      </c>
      <c r="M324">
        <v>3</v>
      </c>
      <c r="N324">
        <v>0.81470273100000001</v>
      </c>
    </row>
    <row r="325" spans="1:14" x14ac:dyDescent="0.3">
      <c r="A325" t="s">
        <v>105</v>
      </c>
      <c r="B325">
        <v>81</v>
      </c>
      <c r="C325" t="s">
        <v>21</v>
      </c>
      <c r="D325" t="s">
        <v>23</v>
      </c>
      <c r="E325">
        <v>1</v>
      </c>
      <c r="F325" t="s">
        <v>33</v>
      </c>
      <c r="G325">
        <v>3</v>
      </c>
      <c r="H325" t="s">
        <v>25</v>
      </c>
      <c r="I325">
        <v>0</v>
      </c>
      <c r="J325">
        <v>34.293489860000001</v>
      </c>
      <c r="K325">
        <v>44.061139900000001</v>
      </c>
      <c r="L325">
        <v>0.42281931699999997</v>
      </c>
      <c r="M325">
        <v>4</v>
      </c>
      <c r="N325">
        <v>-1.8697887900000001</v>
      </c>
    </row>
    <row r="326" spans="1:14" x14ac:dyDescent="0.3">
      <c r="A326" t="s">
        <v>106</v>
      </c>
      <c r="B326">
        <v>82</v>
      </c>
      <c r="C326" t="s">
        <v>15</v>
      </c>
      <c r="D326" t="s">
        <v>23</v>
      </c>
      <c r="E326">
        <v>1</v>
      </c>
      <c r="F326" t="s">
        <v>17</v>
      </c>
      <c r="G326">
        <v>2</v>
      </c>
      <c r="H326" t="s">
        <v>18</v>
      </c>
      <c r="I326">
        <v>1</v>
      </c>
      <c r="J326">
        <v>46.100432419999997</v>
      </c>
      <c r="K326">
        <v>41.437421989999997</v>
      </c>
      <c r="L326">
        <v>0.423520114</v>
      </c>
      <c r="M326">
        <v>1</v>
      </c>
      <c r="N326">
        <v>0.482029504</v>
      </c>
    </row>
    <row r="327" spans="1:14" x14ac:dyDescent="0.3">
      <c r="A327" t="s">
        <v>106</v>
      </c>
      <c r="B327">
        <v>82</v>
      </c>
      <c r="C327" t="s">
        <v>19</v>
      </c>
      <c r="D327" t="s">
        <v>23</v>
      </c>
      <c r="E327">
        <v>1</v>
      </c>
      <c r="F327" t="s">
        <v>17</v>
      </c>
      <c r="G327">
        <v>2</v>
      </c>
      <c r="H327" t="s">
        <v>18</v>
      </c>
      <c r="I327">
        <v>1</v>
      </c>
      <c r="J327">
        <v>46.100432419999997</v>
      </c>
      <c r="L327">
        <v>0.86986878700000003</v>
      </c>
      <c r="M327">
        <v>2</v>
      </c>
      <c r="N327">
        <v>0.456135603</v>
      </c>
    </row>
    <row r="328" spans="1:14" x14ac:dyDescent="0.3">
      <c r="A328" t="s">
        <v>106</v>
      </c>
      <c r="B328">
        <v>82</v>
      </c>
      <c r="C328" t="s">
        <v>20</v>
      </c>
      <c r="D328" t="s">
        <v>23</v>
      </c>
      <c r="E328">
        <v>1</v>
      </c>
      <c r="F328" t="s">
        <v>17</v>
      </c>
      <c r="G328">
        <v>2</v>
      </c>
      <c r="H328" t="s">
        <v>18</v>
      </c>
      <c r="I328">
        <v>1</v>
      </c>
      <c r="J328">
        <v>46.100432419999997</v>
      </c>
      <c r="K328">
        <v>46.169542790000001</v>
      </c>
      <c r="L328">
        <v>0.35199809500000001</v>
      </c>
      <c r="M328">
        <v>3</v>
      </c>
      <c r="N328">
        <v>-0.35340028600000001</v>
      </c>
    </row>
    <row r="329" spans="1:14" x14ac:dyDescent="0.3">
      <c r="A329" t="s">
        <v>106</v>
      </c>
      <c r="B329">
        <v>82</v>
      </c>
      <c r="C329" t="s">
        <v>21</v>
      </c>
      <c r="D329" t="s">
        <v>23</v>
      </c>
      <c r="E329">
        <v>1</v>
      </c>
      <c r="F329" t="s">
        <v>17</v>
      </c>
      <c r="G329">
        <v>2</v>
      </c>
      <c r="H329" t="s">
        <v>18</v>
      </c>
      <c r="I329">
        <v>1</v>
      </c>
      <c r="J329">
        <v>46.100432419999997</v>
      </c>
      <c r="K329">
        <v>54.240243739999997</v>
      </c>
      <c r="L329">
        <v>0.112696638</v>
      </c>
      <c r="M329">
        <v>4</v>
      </c>
      <c r="N329">
        <v>0.170489471</v>
      </c>
    </row>
    <row r="330" spans="1:14" x14ac:dyDescent="0.3">
      <c r="A330" t="s">
        <v>107</v>
      </c>
      <c r="B330">
        <v>83</v>
      </c>
      <c r="C330" t="s">
        <v>15</v>
      </c>
      <c r="D330" t="s">
        <v>16</v>
      </c>
      <c r="E330">
        <v>2</v>
      </c>
      <c r="F330" t="s">
        <v>33</v>
      </c>
      <c r="G330">
        <v>3</v>
      </c>
      <c r="H330" t="s">
        <v>25</v>
      </c>
      <c r="I330">
        <v>0</v>
      </c>
      <c r="J330">
        <v>45.249850449999997</v>
      </c>
      <c r="K330">
        <v>36.618313000000001</v>
      </c>
      <c r="L330">
        <v>0.22851748</v>
      </c>
      <c r="M330">
        <v>1</v>
      </c>
      <c r="N330">
        <v>-0.86403595399999999</v>
      </c>
    </row>
    <row r="331" spans="1:14" x14ac:dyDescent="0.3">
      <c r="A331" t="s">
        <v>107</v>
      </c>
      <c r="B331">
        <v>83</v>
      </c>
      <c r="C331" t="s">
        <v>19</v>
      </c>
      <c r="D331" t="s">
        <v>16</v>
      </c>
      <c r="E331">
        <v>2</v>
      </c>
      <c r="F331" t="s">
        <v>33</v>
      </c>
      <c r="G331">
        <v>3</v>
      </c>
      <c r="H331" t="s">
        <v>25</v>
      </c>
      <c r="I331">
        <v>0</v>
      </c>
      <c r="J331">
        <v>45.249850449999997</v>
      </c>
      <c r="K331">
        <v>42.092722709999997</v>
      </c>
      <c r="L331">
        <v>0.283405042</v>
      </c>
      <c r="M331">
        <v>2</v>
      </c>
      <c r="N331">
        <v>0.67923077399999998</v>
      </c>
    </row>
    <row r="332" spans="1:14" x14ac:dyDescent="0.3">
      <c r="A332" t="s">
        <v>107</v>
      </c>
      <c r="B332">
        <v>83</v>
      </c>
      <c r="C332" t="s">
        <v>20</v>
      </c>
      <c r="D332" t="s">
        <v>16</v>
      </c>
      <c r="E332">
        <v>2</v>
      </c>
      <c r="F332" t="s">
        <v>33</v>
      </c>
      <c r="G332">
        <v>3</v>
      </c>
      <c r="H332" t="s">
        <v>25</v>
      </c>
      <c r="I332">
        <v>0</v>
      </c>
      <c r="J332">
        <v>45.249850449999997</v>
      </c>
      <c r="K332">
        <v>50.695561400000003</v>
      </c>
      <c r="L332">
        <v>0.41159180899999998</v>
      </c>
      <c r="M332">
        <v>3</v>
      </c>
      <c r="N332">
        <v>-0.32710101499999999</v>
      </c>
    </row>
    <row r="333" spans="1:14" x14ac:dyDescent="0.3">
      <c r="A333" t="s">
        <v>107</v>
      </c>
      <c r="B333">
        <v>83</v>
      </c>
      <c r="C333" t="s">
        <v>21</v>
      </c>
      <c r="D333" t="s">
        <v>16</v>
      </c>
      <c r="E333">
        <v>2</v>
      </c>
      <c r="F333" t="s">
        <v>33</v>
      </c>
      <c r="G333">
        <v>3</v>
      </c>
      <c r="H333" t="s">
        <v>25</v>
      </c>
      <c r="I333">
        <v>0</v>
      </c>
      <c r="J333">
        <v>45.249850449999997</v>
      </c>
      <c r="K333">
        <v>51.725633860000002</v>
      </c>
      <c r="L333">
        <v>0.77927453199999996</v>
      </c>
      <c r="M333">
        <v>4</v>
      </c>
      <c r="N333">
        <v>-1.5690821850000001</v>
      </c>
    </row>
    <row r="334" spans="1:14" x14ac:dyDescent="0.3">
      <c r="A334" t="s">
        <v>108</v>
      </c>
      <c r="B334">
        <v>84</v>
      </c>
      <c r="C334" t="s">
        <v>15</v>
      </c>
      <c r="D334" t="s">
        <v>23</v>
      </c>
      <c r="E334">
        <v>1</v>
      </c>
      <c r="F334" t="s">
        <v>24</v>
      </c>
      <c r="G334">
        <v>1</v>
      </c>
      <c r="H334" t="s">
        <v>18</v>
      </c>
      <c r="I334">
        <v>1</v>
      </c>
      <c r="J334">
        <v>31.986982609999998</v>
      </c>
      <c r="L334">
        <v>0.689311071</v>
      </c>
      <c r="M334">
        <v>1</v>
      </c>
      <c r="N334">
        <v>-0.36745075599999999</v>
      </c>
    </row>
    <row r="335" spans="1:14" x14ac:dyDescent="0.3">
      <c r="A335" t="s">
        <v>108</v>
      </c>
      <c r="B335">
        <v>84</v>
      </c>
      <c r="C335" t="s">
        <v>19</v>
      </c>
      <c r="D335" t="s">
        <v>23</v>
      </c>
      <c r="E335">
        <v>1</v>
      </c>
      <c r="F335" t="s">
        <v>24</v>
      </c>
      <c r="G335">
        <v>1</v>
      </c>
      <c r="H335" t="s">
        <v>18</v>
      </c>
      <c r="I335">
        <v>1</v>
      </c>
      <c r="J335">
        <v>31.986982609999998</v>
      </c>
      <c r="L335">
        <v>0.63987780999999999</v>
      </c>
      <c r="M335">
        <v>2</v>
      </c>
      <c r="N335">
        <v>1.364434929</v>
      </c>
    </row>
    <row r="336" spans="1:14" x14ac:dyDescent="0.3">
      <c r="A336" t="s">
        <v>108</v>
      </c>
      <c r="B336">
        <v>84</v>
      </c>
      <c r="C336" t="s">
        <v>20</v>
      </c>
      <c r="D336" t="s">
        <v>23</v>
      </c>
      <c r="E336">
        <v>1</v>
      </c>
      <c r="F336" t="s">
        <v>24</v>
      </c>
      <c r="G336">
        <v>1</v>
      </c>
      <c r="H336" t="s">
        <v>18</v>
      </c>
      <c r="I336">
        <v>1</v>
      </c>
      <c r="J336">
        <v>31.986982609999998</v>
      </c>
      <c r="L336">
        <v>0.186017037</v>
      </c>
      <c r="M336">
        <v>3</v>
      </c>
      <c r="N336">
        <v>-0.334281365</v>
      </c>
    </row>
    <row r="337" spans="1:14" x14ac:dyDescent="0.3">
      <c r="A337" t="s">
        <v>108</v>
      </c>
      <c r="B337">
        <v>84</v>
      </c>
      <c r="C337" t="s">
        <v>21</v>
      </c>
      <c r="D337" t="s">
        <v>23</v>
      </c>
      <c r="E337">
        <v>1</v>
      </c>
      <c r="F337" t="s">
        <v>24</v>
      </c>
      <c r="G337">
        <v>1</v>
      </c>
      <c r="H337" t="s">
        <v>18</v>
      </c>
      <c r="I337">
        <v>1</v>
      </c>
      <c r="J337">
        <v>31.986982609999998</v>
      </c>
      <c r="K337">
        <v>53.899474240000004</v>
      </c>
      <c r="L337">
        <v>0.14752701200000001</v>
      </c>
      <c r="M337">
        <v>4</v>
      </c>
      <c r="N337">
        <v>0.73275004200000005</v>
      </c>
    </row>
    <row r="338" spans="1:14" x14ac:dyDescent="0.3">
      <c r="A338" t="s">
        <v>109</v>
      </c>
      <c r="B338">
        <v>85</v>
      </c>
      <c r="C338" t="s">
        <v>15</v>
      </c>
      <c r="D338" t="s">
        <v>23</v>
      </c>
      <c r="E338">
        <v>1</v>
      </c>
      <c r="F338" t="s">
        <v>24</v>
      </c>
      <c r="G338">
        <v>1</v>
      </c>
      <c r="H338" t="s">
        <v>18</v>
      </c>
      <c r="I338">
        <v>1</v>
      </c>
      <c r="J338">
        <v>40.078731210000001</v>
      </c>
      <c r="L338">
        <v>0.86892835199999996</v>
      </c>
      <c r="M338">
        <v>1</v>
      </c>
      <c r="N338">
        <v>0.94658564000000001</v>
      </c>
    </row>
    <row r="339" spans="1:14" x14ac:dyDescent="0.3">
      <c r="A339" t="s">
        <v>109</v>
      </c>
      <c r="B339">
        <v>85</v>
      </c>
      <c r="C339" t="s">
        <v>19</v>
      </c>
      <c r="D339" t="s">
        <v>23</v>
      </c>
      <c r="E339">
        <v>1</v>
      </c>
      <c r="F339" t="s">
        <v>24</v>
      </c>
      <c r="G339">
        <v>1</v>
      </c>
      <c r="H339" t="s">
        <v>18</v>
      </c>
      <c r="I339">
        <v>1</v>
      </c>
      <c r="J339">
        <v>40.078731210000001</v>
      </c>
      <c r="L339">
        <v>0.68375919799999996</v>
      </c>
      <c r="M339">
        <v>2</v>
      </c>
      <c r="N339">
        <v>4.3987039999999998E-3</v>
      </c>
    </row>
    <row r="340" spans="1:14" x14ac:dyDescent="0.3">
      <c r="A340" t="s">
        <v>109</v>
      </c>
      <c r="B340">
        <v>85</v>
      </c>
      <c r="C340" t="s">
        <v>20</v>
      </c>
      <c r="D340" t="s">
        <v>23</v>
      </c>
      <c r="E340">
        <v>1</v>
      </c>
      <c r="F340" t="s">
        <v>24</v>
      </c>
      <c r="G340">
        <v>1</v>
      </c>
      <c r="H340" t="s">
        <v>18</v>
      </c>
      <c r="I340">
        <v>1</v>
      </c>
      <c r="J340">
        <v>40.078731210000001</v>
      </c>
      <c r="K340">
        <v>39.944202410000003</v>
      </c>
      <c r="L340">
        <v>0.49244317599999998</v>
      </c>
      <c r="M340">
        <v>3</v>
      </c>
      <c r="N340">
        <v>-0.35232230599999997</v>
      </c>
    </row>
    <row r="341" spans="1:14" x14ac:dyDescent="0.3">
      <c r="A341" t="s">
        <v>109</v>
      </c>
      <c r="B341">
        <v>85</v>
      </c>
      <c r="C341" t="s">
        <v>21</v>
      </c>
      <c r="D341" t="s">
        <v>23</v>
      </c>
      <c r="E341">
        <v>1</v>
      </c>
      <c r="F341" t="s">
        <v>24</v>
      </c>
      <c r="G341">
        <v>1</v>
      </c>
      <c r="H341" t="s">
        <v>18</v>
      </c>
      <c r="I341">
        <v>1</v>
      </c>
      <c r="J341">
        <v>40.078731210000001</v>
      </c>
      <c r="K341">
        <v>56.424817939999997</v>
      </c>
      <c r="L341">
        <v>0.80476698599999996</v>
      </c>
      <c r="M341">
        <v>4</v>
      </c>
      <c r="N341">
        <v>-0.52969550899999995</v>
      </c>
    </row>
    <row r="342" spans="1:14" x14ac:dyDescent="0.3">
      <c r="A342" t="s">
        <v>110</v>
      </c>
      <c r="B342">
        <v>86</v>
      </c>
      <c r="C342" t="s">
        <v>15</v>
      </c>
      <c r="D342" t="s">
        <v>16</v>
      </c>
      <c r="E342">
        <v>2</v>
      </c>
      <c r="F342" t="s">
        <v>17</v>
      </c>
      <c r="G342">
        <v>2</v>
      </c>
      <c r="H342" t="s">
        <v>18</v>
      </c>
      <c r="I342">
        <v>1</v>
      </c>
      <c r="J342">
        <v>29.145562989999998</v>
      </c>
      <c r="K342">
        <v>41.863850480000004</v>
      </c>
      <c r="L342">
        <v>0.56338289200000002</v>
      </c>
      <c r="M342">
        <v>1</v>
      </c>
      <c r="N342">
        <v>0.73958922599999999</v>
      </c>
    </row>
    <row r="343" spans="1:14" x14ac:dyDescent="0.3">
      <c r="A343" t="s">
        <v>110</v>
      </c>
      <c r="B343">
        <v>86</v>
      </c>
      <c r="C343" t="s">
        <v>19</v>
      </c>
      <c r="D343" t="s">
        <v>16</v>
      </c>
      <c r="E343">
        <v>2</v>
      </c>
      <c r="F343" t="s">
        <v>17</v>
      </c>
      <c r="G343">
        <v>2</v>
      </c>
      <c r="H343" t="s">
        <v>18</v>
      </c>
      <c r="I343">
        <v>1</v>
      </c>
      <c r="J343">
        <v>29.145562989999998</v>
      </c>
      <c r="K343">
        <v>34.564195560000002</v>
      </c>
      <c r="L343">
        <v>0.65546937800000005</v>
      </c>
      <c r="M343">
        <v>2</v>
      </c>
      <c r="N343">
        <v>-1.063457415</v>
      </c>
    </row>
    <row r="344" spans="1:14" x14ac:dyDescent="0.3">
      <c r="A344" t="s">
        <v>110</v>
      </c>
      <c r="B344">
        <v>86</v>
      </c>
      <c r="C344" t="s">
        <v>20</v>
      </c>
      <c r="D344" t="s">
        <v>16</v>
      </c>
      <c r="E344">
        <v>2</v>
      </c>
      <c r="F344" t="s">
        <v>17</v>
      </c>
      <c r="G344">
        <v>2</v>
      </c>
      <c r="H344" t="s">
        <v>18</v>
      </c>
      <c r="I344">
        <v>1</v>
      </c>
      <c r="J344">
        <v>29.145562989999998</v>
      </c>
      <c r="K344">
        <v>38.689267710000003</v>
      </c>
      <c r="L344">
        <v>0.82883273499999999</v>
      </c>
      <c r="M344">
        <v>3</v>
      </c>
      <c r="N344">
        <v>0.24621084400000001</v>
      </c>
    </row>
    <row r="345" spans="1:14" x14ac:dyDescent="0.3">
      <c r="A345" t="s">
        <v>110</v>
      </c>
      <c r="B345">
        <v>86</v>
      </c>
      <c r="C345" t="s">
        <v>21</v>
      </c>
      <c r="D345" t="s">
        <v>16</v>
      </c>
      <c r="E345">
        <v>2</v>
      </c>
      <c r="F345" t="s">
        <v>17</v>
      </c>
      <c r="G345">
        <v>2</v>
      </c>
      <c r="H345" t="s">
        <v>18</v>
      </c>
      <c r="I345">
        <v>1</v>
      </c>
      <c r="J345">
        <v>29.145562989999998</v>
      </c>
      <c r="K345">
        <v>62.887430870000003</v>
      </c>
      <c r="L345">
        <v>0.77028496000000002</v>
      </c>
      <c r="M345">
        <v>4</v>
      </c>
      <c r="N345">
        <v>-0.28949936700000001</v>
      </c>
    </row>
    <row r="346" spans="1:14" x14ac:dyDescent="0.3">
      <c r="A346" t="s">
        <v>111</v>
      </c>
      <c r="B346">
        <v>87</v>
      </c>
      <c r="C346" t="s">
        <v>15</v>
      </c>
      <c r="D346" t="s">
        <v>23</v>
      </c>
      <c r="E346">
        <v>1</v>
      </c>
      <c r="F346" t="s">
        <v>33</v>
      </c>
      <c r="G346">
        <v>3</v>
      </c>
      <c r="H346" t="s">
        <v>25</v>
      </c>
      <c r="I346">
        <v>0</v>
      </c>
      <c r="J346">
        <v>39.322245199999998</v>
      </c>
      <c r="K346">
        <v>28.853427929999999</v>
      </c>
      <c r="L346">
        <v>0.51151049599999998</v>
      </c>
      <c r="M346">
        <v>1</v>
      </c>
      <c r="N346">
        <v>-2.2648893559999999</v>
      </c>
    </row>
    <row r="347" spans="1:14" x14ac:dyDescent="0.3">
      <c r="A347" t="s">
        <v>111</v>
      </c>
      <c r="B347">
        <v>87</v>
      </c>
      <c r="C347" t="s">
        <v>19</v>
      </c>
      <c r="D347" t="s">
        <v>23</v>
      </c>
      <c r="E347">
        <v>1</v>
      </c>
      <c r="F347" t="s">
        <v>33</v>
      </c>
      <c r="G347">
        <v>3</v>
      </c>
      <c r="H347" t="s">
        <v>25</v>
      </c>
      <c r="I347">
        <v>0</v>
      </c>
      <c r="J347">
        <v>39.322245199999998</v>
      </c>
      <c r="L347">
        <v>0.60126582299999998</v>
      </c>
      <c r="M347">
        <v>2</v>
      </c>
      <c r="N347">
        <v>-1.4088504559999999</v>
      </c>
    </row>
    <row r="348" spans="1:14" x14ac:dyDescent="0.3">
      <c r="A348" t="s">
        <v>111</v>
      </c>
      <c r="B348">
        <v>87</v>
      </c>
      <c r="C348" t="s">
        <v>20</v>
      </c>
      <c r="D348" t="s">
        <v>23</v>
      </c>
      <c r="E348">
        <v>1</v>
      </c>
      <c r="F348" t="s">
        <v>33</v>
      </c>
      <c r="G348">
        <v>3</v>
      </c>
      <c r="H348" t="s">
        <v>25</v>
      </c>
      <c r="I348">
        <v>0</v>
      </c>
      <c r="J348">
        <v>39.322245199999998</v>
      </c>
      <c r="K348">
        <v>49.294954740000001</v>
      </c>
      <c r="L348">
        <v>0.73615622199999997</v>
      </c>
      <c r="M348">
        <v>3</v>
      </c>
      <c r="N348">
        <v>0.91601932900000005</v>
      </c>
    </row>
    <row r="349" spans="1:14" x14ac:dyDescent="0.3">
      <c r="A349" t="s">
        <v>111</v>
      </c>
      <c r="B349">
        <v>87</v>
      </c>
      <c r="C349" t="s">
        <v>21</v>
      </c>
      <c r="D349" t="s">
        <v>23</v>
      </c>
      <c r="E349">
        <v>1</v>
      </c>
      <c r="F349" t="s">
        <v>33</v>
      </c>
      <c r="G349">
        <v>3</v>
      </c>
      <c r="H349" t="s">
        <v>25</v>
      </c>
      <c r="I349">
        <v>0</v>
      </c>
      <c r="J349">
        <v>39.322245199999998</v>
      </c>
      <c r="L349">
        <v>0.85505086900000005</v>
      </c>
      <c r="M349">
        <v>4</v>
      </c>
      <c r="N349">
        <v>-0.191278951</v>
      </c>
    </row>
    <row r="350" spans="1:14" x14ac:dyDescent="0.3">
      <c r="A350" t="s">
        <v>112</v>
      </c>
      <c r="B350">
        <v>88</v>
      </c>
      <c r="C350" t="s">
        <v>15</v>
      </c>
      <c r="D350" t="s">
        <v>23</v>
      </c>
      <c r="E350">
        <v>1</v>
      </c>
      <c r="F350" t="s">
        <v>17</v>
      </c>
      <c r="G350">
        <v>2</v>
      </c>
      <c r="H350" t="s">
        <v>18</v>
      </c>
      <c r="I350">
        <v>1</v>
      </c>
      <c r="J350">
        <v>45.559909339999997</v>
      </c>
      <c r="K350">
        <v>28.740293980000001</v>
      </c>
      <c r="L350">
        <v>0.13545179900000001</v>
      </c>
      <c r="M350">
        <v>1</v>
      </c>
      <c r="N350">
        <v>0.80328321599999997</v>
      </c>
    </row>
    <row r="351" spans="1:14" x14ac:dyDescent="0.3">
      <c r="A351" t="s">
        <v>112</v>
      </c>
      <c r="B351">
        <v>88</v>
      </c>
      <c r="C351" t="s">
        <v>19</v>
      </c>
      <c r="D351" t="s">
        <v>23</v>
      </c>
      <c r="E351">
        <v>1</v>
      </c>
      <c r="F351" t="s">
        <v>17</v>
      </c>
      <c r="G351">
        <v>2</v>
      </c>
      <c r="H351" t="s">
        <v>18</v>
      </c>
      <c r="I351">
        <v>1</v>
      </c>
      <c r="J351">
        <v>45.559909339999997</v>
      </c>
      <c r="L351">
        <v>0.702786405</v>
      </c>
      <c r="M351">
        <v>2</v>
      </c>
      <c r="N351">
        <v>1.887474463</v>
      </c>
    </row>
    <row r="352" spans="1:14" x14ac:dyDescent="0.3">
      <c r="A352" t="s">
        <v>112</v>
      </c>
      <c r="B352">
        <v>88</v>
      </c>
      <c r="C352" t="s">
        <v>20</v>
      </c>
      <c r="D352" t="s">
        <v>23</v>
      </c>
      <c r="E352">
        <v>1</v>
      </c>
      <c r="F352" t="s">
        <v>17</v>
      </c>
      <c r="G352">
        <v>2</v>
      </c>
      <c r="H352" t="s">
        <v>18</v>
      </c>
      <c r="I352">
        <v>1</v>
      </c>
      <c r="J352">
        <v>45.559909339999997</v>
      </c>
      <c r="K352">
        <v>43.599938719999997</v>
      </c>
      <c r="L352">
        <v>0.64777922899999996</v>
      </c>
      <c r="M352">
        <v>3</v>
      </c>
      <c r="N352">
        <v>1.4738811810000001</v>
      </c>
    </row>
    <row r="353" spans="1:14" x14ac:dyDescent="0.3">
      <c r="A353" t="s">
        <v>112</v>
      </c>
      <c r="B353">
        <v>88</v>
      </c>
      <c r="C353" t="s">
        <v>21</v>
      </c>
      <c r="D353" t="s">
        <v>23</v>
      </c>
      <c r="E353">
        <v>1</v>
      </c>
      <c r="F353" t="s">
        <v>17</v>
      </c>
      <c r="G353">
        <v>2</v>
      </c>
      <c r="H353" t="s">
        <v>18</v>
      </c>
      <c r="I353">
        <v>1</v>
      </c>
      <c r="J353">
        <v>45.559909339999997</v>
      </c>
      <c r="K353">
        <v>57.386164800000003</v>
      </c>
      <c r="L353">
        <v>0.59790180199999998</v>
      </c>
      <c r="M353">
        <v>4</v>
      </c>
      <c r="N353">
        <v>0.67726849200000006</v>
      </c>
    </row>
    <row r="354" spans="1:14" x14ac:dyDescent="0.3">
      <c r="A354" t="s">
        <v>113</v>
      </c>
      <c r="B354">
        <v>89</v>
      </c>
      <c r="C354" t="s">
        <v>15</v>
      </c>
      <c r="D354" t="s">
        <v>23</v>
      </c>
      <c r="E354">
        <v>1</v>
      </c>
      <c r="F354" t="s">
        <v>17</v>
      </c>
      <c r="G354">
        <v>2</v>
      </c>
      <c r="H354" t="s">
        <v>25</v>
      </c>
      <c r="I354">
        <v>0</v>
      </c>
      <c r="J354">
        <v>32.13259214</v>
      </c>
      <c r="K354">
        <v>35.368243290000002</v>
      </c>
      <c r="L354">
        <v>0.89479679999999995</v>
      </c>
      <c r="M354">
        <v>1</v>
      </c>
      <c r="N354">
        <v>0.37996268700000002</v>
      </c>
    </row>
    <row r="355" spans="1:14" x14ac:dyDescent="0.3">
      <c r="A355" t="s">
        <v>113</v>
      </c>
      <c r="B355">
        <v>89</v>
      </c>
      <c r="C355" t="s">
        <v>19</v>
      </c>
      <c r="D355" t="s">
        <v>23</v>
      </c>
      <c r="E355">
        <v>1</v>
      </c>
      <c r="F355" t="s">
        <v>17</v>
      </c>
      <c r="G355">
        <v>2</v>
      </c>
      <c r="H355" t="s">
        <v>25</v>
      </c>
      <c r="I355">
        <v>0</v>
      </c>
      <c r="J355">
        <v>32.13259214</v>
      </c>
      <c r="K355">
        <v>43.061099949999999</v>
      </c>
      <c r="L355">
        <v>0.60852218800000002</v>
      </c>
      <c r="M355">
        <v>2</v>
      </c>
      <c r="N355">
        <v>-0.19279842599999999</v>
      </c>
    </row>
    <row r="356" spans="1:14" x14ac:dyDescent="0.3">
      <c r="A356" t="s">
        <v>113</v>
      </c>
      <c r="B356">
        <v>89</v>
      </c>
      <c r="C356" t="s">
        <v>20</v>
      </c>
      <c r="D356" t="s">
        <v>23</v>
      </c>
      <c r="E356">
        <v>1</v>
      </c>
      <c r="F356" t="s">
        <v>17</v>
      </c>
      <c r="G356">
        <v>2</v>
      </c>
      <c r="H356" t="s">
        <v>25</v>
      </c>
      <c r="I356">
        <v>0</v>
      </c>
      <c r="J356">
        <v>32.13259214</v>
      </c>
      <c r="K356">
        <v>31.2755121</v>
      </c>
      <c r="L356">
        <v>0.62473943200000004</v>
      </c>
      <c r="M356">
        <v>3</v>
      </c>
      <c r="N356">
        <v>1.577891795</v>
      </c>
    </row>
    <row r="357" spans="1:14" x14ac:dyDescent="0.3">
      <c r="A357" t="s">
        <v>113</v>
      </c>
      <c r="B357">
        <v>89</v>
      </c>
      <c r="C357" t="s">
        <v>21</v>
      </c>
      <c r="D357" t="s">
        <v>23</v>
      </c>
      <c r="E357">
        <v>1</v>
      </c>
      <c r="F357" t="s">
        <v>17</v>
      </c>
      <c r="G357">
        <v>2</v>
      </c>
      <c r="H357" t="s">
        <v>25</v>
      </c>
      <c r="I357">
        <v>0</v>
      </c>
      <c r="J357">
        <v>32.13259214</v>
      </c>
      <c r="K357">
        <v>54.132452399999998</v>
      </c>
      <c r="L357">
        <v>0.68195779599999995</v>
      </c>
      <c r="M357">
        <v>4</v>
      </c>
      <c r="N357">
        <v>0.59623410899999996</v>
      </c>
    </row>
    <row r="358" spans="1:14" x14ac:dyDescent="0.3">
      <c r="A358" t="s">
        <v>114</v>
      </c>
      <c r="B358">
        <v>90</v>
      </c>
      <c r="C358" t="s">
        <v>15</v>
      </c>
      <c r="D358" t="s">
        <v>23</v>
      </c>
      <c r="E358">
        <v>1</v>
      </c>
      <c r="F358" t="s">
        <v>24</v>
      </c>
      <c r="G358">
        <v>1</v>
      </c>
      <c r="H358" t="s">
        <v>25</v>
      </c>
      <c r="I358">
        <v>0</v>
      </c>
      <c r="J358">
        <v>36.371783479999998</v>
      </c>
      <c r="K358">
        <v>25.970499289999999</v>
      </c>
      <c r="L358">
        <v>0.56814832199999998</v>
      </c>
      <c r="M358">
        <v>1</v>
      </c>
      <c r="N358">
        <v>-1.1735769410000001</v>
      </c>
    </row>
    <row r="359" spans="1:14" x14ac:dyDescent="0.3">
      <c r="A359" t="s">
        <v>114</v>
      </c>
      <c r="B359">
        <v>90</v>
      </c>
      <c r="C359" t="s">
        <v>19</v>
      </c>
      <c r="D359" t="s">
        <v>23</v>
      </c>
      <c r="E359">
        <v>1</v>
      </c>
      <c r="F359" t="s">
        <v>24</v>
      </c>
      <c r="G359">
        <v>1</v>
      </c>
      <c r="H359" t="s">
        <v>25</v>
      </c>
      <c r="I359">
        <v>0</v>
      </c>
      <c r="J359">
        <v>36.371783479999998</v>
      </c>
      <c r="L359">
        <v>0.56021810400000005</v>
      </c>
      <c r="M359">
        <v>2</v>
      </c>
      <c r="N359">
        <v>-0.155642535</v>
      </c>
    </row>
    <row r="360" spans="1:14" x14ac:dyDescent="0.3">
      <c r="A360" t="s">
        <v>114</v>
      </c>
      <c r="B360">
        <v>90</v>
      </c>
      <c r="C360" t="s">
        <v>20</v>
      </c>
      <c r="D360" t="s">
        <v>23</v>
      </c>
      <c r="E360">
        <v>1</v>
      </c>
      <c r="F360" t="s">
        <v>24</v>
      </c>
      <c r="G360">
        <v>1</v>
      </c>
      <c r="H360" t="s">
        <v>25</v>
      </c>
      <c r="I360">
        <v>0</v>
      </c>
      <c r="J360">
        <v>36.371783479999998</v>
      </c>
      <c r="L360">
        <v>0.12776580400000001</v>
      </c>
      <c r="M360">
        <v>3</v>
      </c>
      <c r="N360">
        <v>-1.9189098200000001</v>
      </c>
    </row>
    <row r="361" spans="1:14" x14ac:dyDescent="0.3">
      <c r="A361" t="s">
        <v>114</v>
      </c>
      <c r="B361">
        <v>90</v>
      </c>
      <c r="C361" t="s">
        <v>21</v>
      </c>
      <c r="D361" t="s">
        <v>23</v>
      </c>
      <c r="E361">
        <v>1</v>
      </c>
      <c r="F361" t="s">
        <v>24</v>
      </c>
      <c r="G361">
        <v>1</v>
      </c>
      <c r="H361" t="s">
        <v>25</v>
      </c>
      <c r="I361">
        <v>0</v>
      </c>
      <c r="J361">
        <v>36.371783479999998</v>
      </c>
      <c r="L361">
        <v>0.72961804399999997</v>
      </c>
      <c r="M361">
        <v>4</v>
      </c>
      <c r="N361">
        <v>-0.19525884600000001</v>
      </c>
    </row>
    <row r="362" spans="1:14" x14ac:dyDescent="0.3">
      <c r="A362" t="s">
        <v>115</v>
      </c>
      <c r="B362">
        <v>91</v>
      </c>
      <c r="C362" t="s">
        <v>15</v>
      </c>
      <c r="D362" t="s">
        <v>16</v>
      </c>
      <c r="E362">
        <v>2</v>
      </c>
      <c r="F362" t="s">
        <v>33</v>
      </c>
      <c r="G362">
        <v>3</v>
      </c>
      <c r="H362" t="s">
        <v>18</v>
      </c>
      <c r="I362">
        <v>1</v>
      </c>
      <c r="J362">
        <v>41.351740139999997</v>
      </c>
      <c r="L362">
        <v>0.24476236400000001</v>
      </c>
      <c r="M362">
        <v>1</v>
      </c>
      <c r="N362">
        <v>-2.59232767</v>
      </c>
    </row>
    <row r="363" spans="1:14" x14ac:dyDescent="0.3">
      <c r="A363" t="s">
        <v>115</v>
      </c>
      <c r="B363">
        <v>91</v>
      </c>
      <c r="C363" t="s">
        <v>19</v>
      </c>
      <c r="D363" t="s">
        <v>16</v>
      </c>
      <c r="E363">
        <v>2</v>
      </c>
      <c r="F363" t="s">
        <v>33</v>
      </c>
      <c r="G363">
        <v>3</v>
      </c>
      <c r="H363" t="s">
        <v>18</v>
      </c>
      <c r="I363">
        <v>1</v>
      </c>
      <c r="J363">
        <v>41.351740139999997</v>
      </c>
      <c r="L363">
        <v>0.23466168300000001</v>
      </c>
      <c r="M363">
        <v>2</v>
      </c>
      <c r="N363">
        <v>1.3140021669999999</v>
      </c>
    </row>
    <row r="364" spans="1:14" x14ac:dyDescent="0.3">
      <c r="A364" t="s">
        <v>115</v>
      </c>
      <c r="B364">
        <v>91</v>
      </c>
      <c r="C364" t="s">
        <v>20</v>
      </c>
      <c r="D364" t="s">
        <v>16</v>
      </c>
      <c r="E364">
        <v>2</v>
      </c>
      <c r="F364" t="s">
        <v>33</v>
      </c>
      <c r="G364">
        <v>3</v>
      </c>
      <c r="H364" t="s">
        <v>18</v>
      </c>
      <c r="I364">
        <v>1</v>
      </c>
      <c r="J364">
        <v>41.351740139999997</v>
      </c>
      <c r="K364">
        <v>51.174932759999997</v>
      </c>
      <c r="L364">
        <v>0.48435347099999998</v>
      </c>
      <c r="M364">
        <v>3</v>
      </c>
      <c r="N364">
        <v>-0.63554300100000005</v>
      </c>
    </row>
    <row r="365" spans="1:14" x14ac:dyDescent="0.3">
      <c r="A365" t="s">
        <v>115</v>
      </c>
      <c r="B365">
        <v>91</v>
      </c>
      <c r="C365" t="s">
        <v>21</v>
      </c>
      <c r="D365" t="s">
        <v>16</v>
      </c>
      <c r="E365">
        <v>2</v>
      </c>
      <c r="F365" t="s">
        <v>33</v>
      </c>
      <c r="G365">
        <v>3</v>
      </c>
      <c r="H365" t="s">
        <v>18</v>
      </c>
      <c r="I365">
        <v>1</v>
      </c>
      <c r="J365">
        <v>41.351740139999997</v>
      </c>
      <c r="K365">
        <v>48.440432780000002</v>
      </c>
      <c r="L365">
        <v>0.29403551300000003</v>
      </c>
      <c r="M365">
        <v>4</v>
      </c>
      <c r="N365">
        <v>-0.429978839</v>
      </c>
    </row>
    <row r="366" spans="1:14" x14ac:dyDescent="0.3">
      <c r="A366" t="s">
        <v>116</v>
      </c>
      <c r="B366">
        <v>92</v>
      </c>
      <c r="C366" t="s">
        <v>15</v>
      </c>
      <c r="D366" t="s">
        <v>16</v>
      </c>
      <c r="E366">
        <v>2</v>
      </c>
      <c r="F366" t="s">
        <v>33</v>
      </c>
      <c r="G366">
        <v>3</v>
      </c>
      <c r="H366" t="s">
        <v>18</v>
      </c>
      <c r="I366">
        <v>1</v>
      </c>
      <c r="J366">
        <v>25.673679629999999</v>
      </c>
      <c r="K366">
        <v>43.331284859999997</v>
      </c>
      <c r="L366">
        <v>0.37407708699999997</v>
      </c>
      <c r="M366">
        <v>1</v>
      </c>
      <c r="N366">
        <v>-0.16931833199999999</v>
      </c>
    </row>
    <row r="367" spans="1:14" x14ac:dyDescent="0.3">
      <c r="A367" t="s">
        <v>116</v>
      </c>
      <c r="B367">
        <v>92</v>
      </c>
      <c r="C367" t="s">
        <v>19</v>
      </c>
      <c r="D367" t="s">
        <v>16</v>
      </c>
      <c r="E367">
        <v>2</v>
      </c>
      <c r="F367" t="s">
        <v>33</v>
      </c>
      <c r="G367">
        <v>3</v>
      </c>
      <c r="H367" t="s">
        <v>18</v>
      </c>
      <c r="I367">
        <v>1</v>
      </c>
      <c r="J367">
        <v>25.673679629999999</v>
      </c>
      <c r="L367">
        <v>0.67385191</v>
      </c>
      <c r="M367">
        <v>2</v>
      </c>
      <c r="N367">
        <v>0.612218174</v>
      </c>
    </row>
    <row r="368" spans="1:14" x14ac:dyDescent="0.3">
      <c r="A368" t="s">
        <v>116</v>
      </c>
      <c r="B368">
        <v>92</v>
      </c>
      <c r="C368" t="s">
        <v>20</v>
      </c>
      <c r="D368" t="s">
        <v>16</v>
      </c>
      <c r="E368">
        <v>2</v>
      </c>
      <c r="F368" t="s">
        <v>33</v>
      </c>
      <c r="G368">
        <v>3</v>
      </c>
      <c r="H368" t="s">
        <v>18</v>
      </c>
      <c r="I368">
        <v>1</v>
      </c>
      <c r="J368">
        <v>25.673679629999999</v>
      </c>
      <c r="K368">
        <v>55.93546362</v>
      </c>
      <c r="L368">
        <v>0.79667384600000002</v>
      </c>
      <c r="M368">
        <v>3</v>
      </c>
      <c r="N368">
        <v>0.67834017700000004</v>
      </c>
    </row>
    <row r="369" spans="1:14" x14ac:dyDescent="0.3">
      <c r="A369" t="s">
        <v>116</v>
      </c>
      <c r="B369">
        <v>92</v>
      </c>
      <c r="C369" t="s">
        <v>21</v>
      </c>
      <c r="D369" t="s">
        <v>16</v>
      </c>
      <c r="E369">
        <v>2</v>
      </c>
      <c r="F369" t="s">
        <v>33</v>
      </c>
      <c r="G369">
        <v>3</v>
      </c>
      <c r="H369" t="s">
        <v>18</v>
      </c>
      <c r="I369">
        <v>1</v>
      </c>
      <c r="J369">
        <v>25.673679629999999</v>
      </c>
      <c r="K369">
        <v>54.153120870000002</v>
      </c>
      <c r="L369">
        <v>0.30320566399999999</v>
      </c>
      <c r="M369">
        <v>4</v>
      </c>
      <c r="N369">
        <v>0.56795197200000003</v>
      </c>
    </row>
    <row r="370" spans="1:14" x14ac:dyDescent="0.3">
      <c r="A370" t="s">
        <v>117</v>
      </c>
      <c r="B370">
        <v>93</v>
      </c>
      <c r="C370" t="s">
        <v>15</v>
      </c>
      <c r="D370" t="s">
        <v>23</v>
      </c>
      <c r="E370">
        <v>1</v>
      </c>
      <c r="F370" t="s">
        <v>17</v>
      </c>
      <c r="G370">
        <v>2</v>
      </c>
      <c r="H370" t="s">
        <v>25</v>
      </c>
      <c r="I370">
        <v>0</v>
      </c>
      <c r="J370">
        <v>45.771560039999997</v>
      </c>
      <c r="L370">
        <v>0.73407746200000001</v>
      </c>
      <c r="M370">
        <v>1</v>
      </c>
      <c r="N370">
        <v>-0.57254260400000001</v>
      </c>
    </row>
    <row r="371" spans="1:14" x14ac:dyDescent="0.3">
      <c r="A371" t="s">
        <v>117</v>
      </c>
      <c r="B371">
        <v>93</v>
      </c>
      <c r="C371" t="s">
        <v>19</v>
      </c>
      <c r="D371" t="s">
        <v>23</v>
      </c>
      <c r="E371">
        <v>1</v>
      </c>
      <c r="F371" t="s">
        <v>17</v>
      </c>
      <c r="G371">
        <v>2</v>
      </c>
      <c r="H371" t="s">
        <v>25</v>
      </c>
      <c r="I371">
        <v>0</v>
      </c>
      <c r="J371">
        <v>45.771560039999997</v>
      </c>
      <c r="K371">
        <v>40.602519890000003</v>
      </c>
      <c r="L371">
        <v>0.55718718099999998</v>
      </c>
      <c r="M371">
        <v>2</v>
      </c>
      <c r="N371">
        <v>-1.3632912559999999</v>
      </c>
    </row>
    <row r="372" spans="1:14" x14ac:dyDescent="0.3">
      <c r="A372" t="s">
        <v>117</v>
      </c>
      <c r="B372">
        <v>93</v>
      </c>
      <c r="C372" t="s">
        <v>20</v>
      </c>
      <c r="D372" t="s">
        <v>23</v>
      </c>
      <c r="E372">
        <v>1</v>
      </c>
      <c r="F372" t="s">
        <v>17</v>
      </c>
      <c r="G372">
        <v>2</v>
      </c>
      <c r="H372" t="s">
        <v>25</v>
      </c>
      <c r="I372">
        <v>0</v>
      </c>
      <c r="J372">
        <v>45.771560039999997</v>
      </c>
      <c r="K372">
        <v>44.447148030000001</v>
      </c>
      <c r="L372">
        <v>0.52436522399999996</v>
      </c>
      <c r="M372">
        <v>3</v>
      </c>
      <c r="N372">
        <v>-0.38872224399999999</v>
      </c>
    </row>
    <row r="373" spans="1:14" x14ac:dyDescent="0.3">
      <c r="A373" t="s">
        <v>117</v>
      </c>
      <c r="B373">
        <v>93</v>
      </c>
      <c r="C373" t="s">
        <v>21</v>
      </c>
      <c r="D373" t="s">
        <v>23</v>
      </c>
      <c r="E373">
        <v>1</v>
      </c>
      <c r="F373" t="s">
        <v>17</v>
      </c>
      <c r="G373">
        <v>2</v>
      </c>
      <c r="H373" t="s">
        <v>25</v>
      </c>
      <c r="I373">
        <v>0</v>
      </c>
      <c r="J373">
        <v>45.771560039999997</v>
      </c>
      <c r="K373">
        <v>40.541610409999997</v>
      </c>
      <c r="L373">
        <v>0.72763691200000002</v>
      </c>
      <c r="M373">
        <v>4</v>
      </c>
      <c r="N373">
        <v>0.27791413199999998</v>
      </c>
    </row>
    <row r="374" spans="1:14" x14ac:dyDescent="0.3">
      <c r="A374" t="s">
        <v>118</v>
      </c>
      <c r="B374">
        <v>94</v>
      </c>
      <c r="C374" t="s">
        <v>15</v>
      </c>
      <c r="D374" t="s">
        <v>23</v>
      </c>
      <c r="E374">
        <v>1</v>
      </c>
      <c r="F374" t="s">
        <v>24</v>
      </c>
      <c r="G374">
        <v>1</v>
      </c>
      <c r="H374" t="s">
        <v>18</v>
      </c>
      <c r="I374">
        <v>1</v>
      </c>
      <c r="J374">
        <v>40.3111405</v>
      </c>
      <c r="K374">
        <v>33.95563172</v>
      </c>
      <c r="L374">
        <v>0.84159345200000002</v>
      </c>
      <c r="M374">
        <v>1</v>
      </c>
      <c r="N374">
        <v>-0.82308112200000005</v>
      </c>
    </row>
    <row r="375" spans="1:14" x14ac:dyDescent="0.3">
      <c r="A375" t="s">
        <v>118</v>
      </c>
      <c r="B375">
        <v>94</v>
      </c>
      <c r="C375" t="s">
        <v>19</v>
      </c>
      <c r="D375" t="s">
        <v>23</v>
      </c>
      <c r="E375">
        <v>1</v>
      </c>
      <c r="F375" t="s">
        <v>24</v>
      </c>
      <c r="G375">
        <v>1</v>
      </c>
      <c r="H375" t="s">
        <v>18</v>
      </c>
      <c r="I375">
        <v>1</v>
      </c>
      <c r="J375">
        <v>40.3111405</v>
      </c>
      <c r="L375">
        <v>0.59734828100000004</v>
      </c>
      <c r="M375">
        <v>2</v>
      </c>
      <c r="N375">
        <v>-6.8840934000000006E-2</v>
      </c>
    </row>
    <row r="376" spans="1:14" x14ac:dyDescent="0.3">
      <c r="A376" t="s">
        <v>118</v>
      </c>
      <c r="B376">
        <v>94</v>
      </c>
      <c r="C376" t="s">
        <v>20</v>
      </c>
      <c r="D376" t="s">
        <v>23</v>
      </c>
      <c r="E376">
        <v>1</v>
      </c>
      <c r="F376" t="s">
        <v>24</v>
      </c>
      <c r="G376">
        <v>1</v>
      </c>
      <c r="H376" t="s">
        <v>18</v>
      </c>
      <c r="I376">
        <v>1</v>
      </c>
      <c r="J376">
        <v>40.3111405</v>
      </c>
      <c r="K376">
        <v>43.678023000000003</v>
      </c>
      <c r="L376">
        <v>0.61667430899999998</v>
      </c>
      <c r="M376">
        <v>3</v>
      </c>
      <c r="N376">
        <v>-1.1676623260000001</v>
      </c>
    </row>
    <row r="377" spans="1:14" x14ac:dyDescent="0.3">
      <c r="A377" t="s">
        <v>118</v>
      </c>
      <c r="B377">
        <v>94</v>
      </c>
      <c r="C377" t="s">
        <v>21</v>
      </c>
      <c r="D377" t="s">
        <v>23</v>
      </c>
      <c r="E377">
        <v>1</v>
      </c>
      <c r="F377" t="s">
        <v>24</v>
      </c>
      <c r="G377">
        <v>1</v>
      </c>
      <c r="H377" t="s">
        <v>18</v>
      </c>
      <c r="I377">
        <v>1</v>
      </c>
      <c r="J377">
        <v>40.3111405</v>
      </c>
      <c r="K377">
        <v>42.76023103</v>
      </c>
      <c r="L377">
        <v>0.44751517000000002</v>
      </c>
      <c r="M377">
        <v>4</v>
      </c>
      <c r="N377">
        <v>-8.309014E-3</v>
      </c>
    </row>
    <row r="378" spans="1:14" x14ac:dyDescent="0.3">
      <c r="A378" t="s">
        <v>119</v>
      </c>
      <c r="B378">
        <v>95</v>
      </c>
      <c r="C378" t="s">
        <v>15</v>
      </c>
      <c r="D378" t="s">
        <v>23</v>
      </c>
      <c r="E378">
        <v>1</v>
      </c>
      <c r="F378" t="s">
        <v>24</v>
      </c>
      <c r="G378">
        <v>1</v>
      </c>
      <c r="H378" t="s">
        <v>18</v>
      </c>
      <c r="I378">
        <v>1</v>
      </c>
      <c r="J378">
        <v>37.514556570000003</v>
      </c>
      <c r="L378">
        <v>0.44571967899999998</v>
      </c>
      <c r="M378">
        <v>1</v>
      </c>
      <c r="N378">
        <v>0.12885540200000001</v>
      </c>
    </row>
    <row r="379" spans="1:14" x14ac:dyDescent="0.3">
      <c r="A379" t="s">
        <v>119</v>
      </c>
      <c r="B379">
        <v>95</v>
      </c>
      <c r="C379" t="s">
        <v>19</v>
      </c>
      <c r="D379" t="s">
        <v>23</v>
      </c>
      <c r="E379">
        <v>1</v>
      </c>
      <c r="F379" t="s">
        <v>24</v>
      </c>
      <c r="G379">
        <v>1</v>
      </c>
      <c r="H379" t="s">
        <v>18</v>
      </c>
      <c r="I379">
        <v>1</v>
      </c>
      <c r="J379">
        <v>37.514556570000003</v>
      </c>
      <c r="K379">
        <v>42.826783540000001</v>
      </c>
      <c r="L379">
        <v>0.88008942899999998</v>
      </c>
      <c r="M379">
        <v>2</v>
      </c>
      <c r="N379">
        <v>-0.14587562800000001</v>
      </c>
    </row>
    <row r="380" spans="1:14" x14ac:dyDescent="0.3">
      <c r="A380" t="s">
        <v>119</v>
      </c>
      <c r="B380">
        <v>95</v>
      </c>
      <c r="C380" t="s">
        <v>20</v>
      </c>
      <c r="D380" t="s">
        <v>23</v>
      </c>
      <c r="E380">
        <v>1</v>
      </c>
      <c r="F380" t="s">
        <v>24</v>
      </c>
      <c r="G380">
        <v>1</v>
      </c>
      <c r="H380" t="s">
        <v>18</v>
      </c>
      <c r="I380">
        <v>1</v>
      </c>
      <c r="J380">
        <v>37.514556570000003</v>
      </c>
      <c r="K380">
        <v>39.592179870000002</v>
      </c>
      <c r="L380">
        <v>0.34620713199999997</v>
      </c>
      <c r="M380">
        <v>3</v>
      </c>
      <c r="N380">
        <v>-0.163910957</v>
      </c>
    </row>
    <row r="381" spans="1:14" x14ac:dyDescent="0.3">
      <c r="A381" t="s">
        <v>119</v>
      </c>
      <c r="B381">
        <v>95</v>
      </c>
      <c r="C381" t="s">
        <v>21</v>
      </c>
      <c r="D381" t="s">
        <v>23</v>
      </c>
      <c r="E381">
        <v>1</v>
      </c>
      <c r="F381" t="s">
        <v>24</v>
      </c>
      <c r="G381">
        <v>1</v>
      </c>
      <c r="H381" t="s">
        <v>18</v>
      </c>
      <c r="I381">
        <v>1</v>
      </c>
      <c r="J381">
        <v>37.514556570000003</v>
      </c>
      <c r="L381">
        <v>0.46573436000000001</v>
      </c>
      <c r="M381">
        <v>4</v>
      </c>
      <c r="N381">
        <v>1.763552003</v>
      </c>
    </row>
    <row r="382" spans="1:14" x14ac:dyDescent="0.3">
      <c r="A382" t="s">
        <v>120</v>
      </c>
      <c r="B382">
        <v>96</v>
      </c>
      <c r="C382" t="s">
        <v>15</v>
      </c>
      <c r="D382" t="s">
        <v>23</v>
      </c>
      <c r="E382">
        <v>1</v>
      </c>
      <c r="F382" t="s">
        <v>17</v>
      </c>
      <c r="G382">
        <v>2</v>
      </c>
      <c r="H382" t="s">
        <v>18</v>
      </c>
      <c r="I382">
        <v>1</v>
      </c>
      <c r="J382">
        <v>40.292593410000002</v>
      </c>
      <c r="K382">
        <v>33.49215658</v>
      </c>
      <c r="L382">
        <v>0.66529184699999999</v>
      </c>
      <c r="M382">
        <v>1</v>
      </c>
      <c r="N382">
        <v>0.76258651200000005</v>
      </c>
    </row>
    <row r="383" spans="1:14" x14ac:dyDescent="0.3">
      <c r="A383" t="s">
        <v>120</v>
      </c>
      <c r="B383">
        <v>96</v>
      </c>
      <c r="C383" t="s">
        <v>19</v>
      </c>
      <c r="D383" t="s">
        <v>23</v>
      </c>
      <c r="E383">
        <v>1</v>
      </c>
      <c r="F383" t="s">
        <v>17</v>
      </c>
      <c r="G383">
        <v>2</v>
      </c>
      <c r="H383" t="s">
        <v>18</v>
      </c>
      <c r="I383">
        <v>1</v>
      </c>
      <c r="J383">
        <v>40.292593410000002</v>
      </c>
      <c r="K383">
        <v>35.392663720000002</v>
      </c>
      <c r="L383">
        <v>0.74882467900000005</v>
      </c>
      <c r="M383">
        <v>2</v>
      </c>
      <c r="N383">
        <v>1.1114310810000001</v>
      </c>
    </row>
    <row r="384" spans="1:14" x14ac:dyDescent="0.3">
      <c r="A384" t="s">
        <v>120</v>
      </c>
      <c r="B384">
        <v>96</v>
      </c>
      <c r="C384" t="s">
        <v>20</v>
      </c>
      <c r="D384" t="s">
        <v>23</v>
      </c>
      <c r="E384">
        <v>1</v>
      </c>
      <c r="F384" t="s">
        <v>17</v>
      </c>
      <c r="G384">
        <v>2</v>
      </c>
      <c r="H384" t="s">
        <v>18</v>
      </c>
      <c r="I384">
        <v>1</v>
      </c>
      <c r="J384">
        <v>40.292593410000002</v>
      </c>
      <c r="L384">
        <v>0.34537127899999998</v>
      </c>
      <c r="M384">
        <v>3</v>
      </c>
      <c r="N384">
        <v>-0.923206953</v>
      </c>
    </row>
    <row r="385" spans="1:14" x14ac:dyDescent="0.3">
      <c r="A385" t="s">
        <v>120</v>
      </c>
      <c r="B385">
        <v>96</v>
      </c>
      <c r="C385" t="s">
        <v>21</v>
      </c>
      <c r="D385" t="s">
        <v>23</v>
      </c>
      <c r="E385">
        <v>1</v>
      </c>
      <c r="F385" t="s">
        <v>17</v>
      </c>
      <c r="G385">
        <v>2</v>
      </c>
      <c r="H385" t="s">
        <v>18</v>
      </c>
      <c r="I385">
        <v>1</v>
      </c>
      <c r="J385">
        <v>40.292593410000002</v>
      </c>
      <c r="K385">
        <v>42.362662550000003</v>
      </c>
      <c r="L385">
        <v>0.64244443900000003</v>
      </c>
      <c r="M385">
        <v>4</v>
      </c>
      <c r="N385">
        <v>0.16434183799999999</v>
      </c>
    </row>
    <row r="386" spans="1:14" x14ac:dyDescent="0.3">
      <c r="A386" t="s">
        <v>121</v>
      </c>
      <c r="B386">
        <v>97</v>
      </c>
      <c r="C386" t="s">
        <v>15</v>
      </c>
      <c r="D386" t="s">
        <v>16</v>
      </c>
      <c r="E386">
        <v>2</v>
      </c>
      <c r="F386" t="s">
        <v>33</v>
      </c>
      <c r="G386">
        <v>3</v>
      </c>
      <c r="H386" t="s">
        <v>25</v>
      </c>
      <c r="I386">
        <v>0</v>
      </c>
      <c r="J386">
        <v>37.236485430000002</v>
      </c>
      <c r="K386">
        <v>48.543682650000001</v>
      </c>
      <c r="L386">
        <v>0.72743942900000003</v>
      </c>
      <c r="M386">
        <v>1</v>
      </c>
      <c r="N386">
        <v>1.1548251869999999</v>
      </c>
    </row>
    <row r="387" spans="1:14" x14ac:dyDescent="0.3">
      <c r="A387" t="s">
        <v>121</v>
      </c>
      <c r="B387">
        <v>97</v>
      </c>
      <c r="C387" t="s">
        <v>19</v>
      </c>
      <c r="D387" t="s">
        <v>16</v>
      </c>
      <c r="E387">
        <v>2</v>
      </c>
      <c r="F387" t="s">
        <v>33</v>
      </c>
      <c r="G387">
        <v>3</v>
      </c>
      <c r="H387" t="s">
        <v>25</v>
      </c>
      <c r="I387">
        <v>0</v>
      </c>
      <c r="J387">
        <v>37.236485430000002</v>
      </c>
      <c r="K387">
        <v>43.943663440000002</v>
      </c>
      <c r="L387">
        <v>0.78812918300000001</v>
      </c>
      <c r="M387">
        <v>2</v>
      </c>
      <c r="N387">
        <v>-5.6521425E-2</v>
      </c>
    </row>
    <row r="388" spans="1:14" x14ac:dyDescent="0.3">
      <c r="A388" t="s">
        <v>121</v>
      </c>
      <c r="B388">
        <v>97</v>
      </c>
      <c r="C388" t="s">
        <v>20</v>
      </c>
      <c r="D388" t="s">
        <v>16</v>
      </c>
      <c r="E388">
        <v>2</v>
      </c>
      <c r="F388" t="s">
        <v>33</v>
      </c>
      <c r="G388">
        <v>3</v>
      </c>
      <c r="H388" t="s">
        <v>25</v>
      </c>
      <c r="I388">
        <v>0</v>
      </c>
      <c r="J388">
        <v>37.236485430000002</v>
      </c>
      <c r="L388">
        <v>0.59461876899999999</v>
      </c>
      <c r="M388">
        <v>3</v>
      </c>
      <c r="N388">
        <v>-2.129360648</v>
      </c>
    </row>
    <row r="389" spans="1:14" x14ac:dyDescent="0.3">
      <c r="A389" t="s">
        <v>121</v>
      </c>
      <c r="B389">
        <v>97</v>
      </c>
      <c r="C389" t="s">
        <v>21</v>
      </c>
      <c r="D389" t="s">
        <v>16</v>
      </c>
      <c r="E389">
        <v>2</v>
      </c>
      <c r="F389" t="s">
        <v>33</v>
      </c>
      <c r="G389">
        <v>3</v>
      </c>
      <c r="H389" t="s">
        <v>25</v>
      </c>
      <c r="I389">
        <v>0</v>
      </c>
      <c r="J389">
        <v>37.236485430000002</v>
      </c>
      <c r="K389">
        <v>47.91203977</v>
      </c>
      <c r="L389">
        <v>0.250822502</v>
      </c>
      <c r="M389">
        <v>4</v>
      </c>
      <c r="N389">
        <v>0.344845762</v>
      </c>
    </row>
    <row r="390" spans="1:14" x14ac:dyDescent="0.3">
      <c r="A390" t="s">
        <v>122</v>
      </c>
      <c r="B390">
        <v>98</v>
      </c>
      <c r="C390" t="s">
        <v>15</v>
      </c>
      <c r="D390" t="s">
        <v>23</v>
      </c>
      <c r="E390">
        <v>1</v>
      </c>
      <c r="F390" t="s">
        <v>24</v>
      </c>
      <c r="G390">
        <v>1</v>
      </c>
      <c r="H390" t="s">
        <v>25</v>
      </c>
      <c r="I390">
        <v>0</v>
      </c>
      <c r="J390">
        <v>39.731438830000002</v>
      </c>
      <c r="K390">
        <v>20.72927653</v>
      </c>
      <c r="L390">
        <v>0.82395196199999998</v>
      </c>
      <c r="M390">
        <v>1</v>
      </c>
      <c r="N390">
        <v>-1.904955446</v>
      </c>
    </row>
    <row r="391" spans="1:14" x14ac:dyDescent="0.3">
      <c r="A391" t="s">
        <v>122</v>
      </c>
      <c r="B391">
        <v>98</v>
      </c>
      <c r="C391" t="s">
        <v>19</v>
      </c>
      <c r="D391" t="s">
        <v>23</v>
      </c>
      <c r="E391">
        <v>1</v>
      </c>
      <c r="F391" t="s">
        <v>24</v>
      </c>
      <c r="G391">
        <v>1</v>
      </c>
      <c r="H391" t="s">
        <v>25</v>
      </c>
      <c r="I391">
        <v>0</v>
      </c>
      <c r="J391">
        <v>39.731438830000002</v>
      </c>
      <c r="K391">
        <v>28.005994269999999</v>
      </c>
      <c r="L391">
        <v>0.12567742300000001</v>
      </c>
      <c r="M391">
        <v>2</v>
      </c>
      <c r="N391">
        <v>-0.81117015299999995</v>
      </c>
    </row>
    <row r="392" spans="1:14" x14ac:dyDescent="0.3">
      <c r="A392" t="s">
        <v>122</v>
      </c>
      <c r="B392">
        <v>98</v>
      </c>
      <c r="C392" t="s">
        <v>20</v>
      </c>
      <c r="D392" t="s">
        <v>23</v>
      </c>
      <c r="E392">
        <v>1</v>
      </c>
      <c r="F392" t="s">
        <v>24</v>
      </c>
      <c r="G392">
        <v>1</v>
      </c>
      <c r="H392" t="s">
        <v>25</v>
      </c>
      <c r="I392">
        <v>0</v>
      </c>
      <c r="J392">
        <v>39.731438830000002</v>
      </c>
      <c r="K392">
        <v>40.192554080000001</v>
      </c>
      <c r="L392">
        <v>0.73015247500000002</v>
      </c>
      <c r="M392">
        <v>3</v>
      </c>
      <c r="N392">
        <v>1.3240043210000001</v>
      </c>
    </row>
    <row r="393" spans="1:14" x14ac:dyDescent="0.3">
      <c r="A393" t="s">
        <v>122</v>
      </c>
      <c r="B393">
        <v>98</v>
      </c>
      <c r="C393" t="s">
        <v>21</v>
      </c>
      <c r="D393" t="s">
        <v>23</v>
      </c>
      <c r="E393">
        <v>1</v>
      </c>
      <c r="F393" t="s">
        <v>24</v>
      </c>
      <c r="G393">
        <v>1</v>
      </c>
      <c r="H393" t="s">
        <v>25</v>
      </c>
      <c r="I393">
        <v>0</v>
      </c>
      <c r="J393">
        <v>39.731438830000002</v>
      </c>
      <c r="K393">
        <v>37.793604180000003</v>
      </c>
      <c r="L393">
        <v>0.78351999800000005</v>
      </c>
      <c r="M393">
        <v>4</v>
      </c>
      <c r="N393">
        <v>0.61563684900000004</v>
      </c>
    </row>
    <row r="394" spans="1:14" x14ac:dyDescent="0.3">
      <c r="A394" t="s">
        <v>123</v>
      </c>
      <c r="B394">
        <v>99</v>
      </c>
      <c r="C394" t="s">
        <v>15</v>
      </c>
      <c r="D394" t="s">
        <v>23</v>
      </c>
      <c r="E394">
        <v>1</v>
      </c>
      <c r="F394" t="s">
        <v>17</v>
      </c>
      <c r="G394">
        <v>2</v>
      </c>
      <c r="H394" t="s">
        <v>25</v>
      </c>
      <c r="I394">
        <v>0</v>
      </c>
      <c r="J394">
        <v>47.692307900000003</v>
      </c>
      <c r="L394">
        <v>0.74206125099999998</v>
      </c>
      <c r="M394">
        <v>1</v>
      </c>
      <c r="N394">
        <v>1.0916689559999999</v>
      </c>
    </row>
    <row r="395" spans="1:14" x14ac:dyDescent="0.3">
      <c r="A395" t="s">
        <v>123</v>
      </c>
      <c r="B395">
        <v>99</v>
      </c>
      <c r="C395" t="s">
        <v>19</v>
      </c>
      <c r="D395" t="s">
        <v>23</v>
      </c>
      <c r="E395">
        <v>1</v>
      </c>
      <c r="F395" t="s">
        <v>17</v>
      </c>
      <c r="G395">
        <v>2</v>
      </c>
      <c r="H395" t="s">
        <v>25</v>
      </c>
      <c r="I395">
        <v>0</v>
      </c>
      <c r="J395">
        <v>47.692307900000003</v>
      </c>
      <c r="K395">
        <v>36.751772199999998</v>
      </c>
      <c r="L395">
        <v>0.23439676000000001</v>
      </c>
      <c r="M395">
        <v>2</v>
      </c>
      <c r="N395">
        <v>0.30660486199999998</v>
      </c>
    </row>
    <row r="396" spans="1:14" x14ac:dyDescent="0.3">
      <c r="A396" t="s">
        <v>123</v>
      </c>
      <c r="B396">
        <v>99</v>
      </c>
      <c r="C396" t="s">
        <v>20</v>
      </c>
      <c r="D396" t="s">
        <v>23</v>
      </c>
      <c r="E396">
        <v>1</v>
      </c>
      <c r="F396" t="s">
        <v>17</v>
      </c>
      <c r="G396">
        <v>2</v>
      </c>
      <c r="H396" t="s">
        <v>25</v>
      </c>
      <c r="I396">
        <v>0</v>
      </c>
      <c r="J396">
        <v>47.692307900000003</v>
      </c>
      <c r="L396">
        <v>0.36294198999999999</v>
      </c>
      <c r="M396">
        <v>3</v>
      </c>
      <c r="N396">
        <v>-0.11015876199999999</v>
      </c>
    </row>
    <row r="397" spans="1:14" x14ac:dyDescent="0.3">
      <c r="A397" t="s">
        <v>123</v>
      </c>
      <c r="B397">
        <v>99</v>
      </c>
      <c r="C397" t="s">
        <v>21</v>
      </c>
      <c r="D397" t="s">
        <v>23</v>
      </c>
      <c r="E397">
        <v>1</v>
      </c>
      <c r="F397" t="s">
        <v>17</v>
      </c>
      <c r="G397">
        <v>2</v>
      </c>
      <c r="H397" t="s">
        <v>25</v>
      </c>
      <c r="I397">
        <v>0</v>
      </c>
      <c r="J397">
        <v>47.692307900000003</v>
      </c>
      <c r="L397">
        <v>0.25949185400000002</v>
      </c>
      <c r="M397">
        <v>4</v>
      </c>
      <c r="N397">
        <v>-0.92431277300000003</v>
      </c>
    </row>
    <row r="398" spans="1:14" x14ac:dyDescent="0.3">
      <c r="A398" t="s">
        <v>124</v>
      </c>
      <c r="B398">
        <v>100</v>
      </c>
      <c r="C398" t="s">
        <v>15</v>
      </c>
      <c r="D398" t="s">
        <v>23</v>
      </c>
      <c r="E398">
        <v>1</v>
      </c>
      <c r="F398" t="s">
        <v>17</v>
      </c>
      <c r="G398">
        <v>2</v>
      </c>
      <c r="H398" t="s">
        <v>18</v>
      </c>
      <c r="I398">
        <v>1</v>
      </c>
      <c r="J398">
        <v>51.84187652</v>
      </c>
      <c r="K398">
        <v>34.598222890000002</v>
      </c>
      <c r="L398">
        <v>0.36201506999999999</v>
      </c>
      <c r="M398">
        <v>1</v>
      </c>
      <c r="N398">
        <v>1.592913754</v>
      </c>
    </row>
    <row r="399" spans="1:14" x14ac:dyDescent="0.3">
      <c r="A399" t="s">
        <v>124</v>
      </c>
      <c r="B399">
        <v>100</v>
      </c>
      <c r="C399" t="s">
        <v>19</v>
      </c>
      <c r="D399" t="s">
        <v>23</v>
      </c>
      <c r="E399">
        <v>1</v>
      </c>
      <c r="F399" t="s">
        <v>17</v>
      </c>
      <c r="G399">
        <v>2</v>
      </c>
      <c r="H399" t="s">
        <v>18</v>
      </c>
      <c r="I399">
        <v>1</v>
      </c>
      <c r="J399">
        <v>51.84187652</v>
      </c>
      <c r="K399">
        <v>39.320343049999998</v>
      </c>
      <c r="L399">
        <v>0.40448748499999998</v>
      </c>
      <c r="M399">
        <v>2</v>
      </c>
      <c r="N399">
        <v>4.5010597999999999E-2</v>
      </c>
    </row>
    <row r="400" spans="1:14" x14ac:dyDescent="0.3">
      <c r="A400" t="s">
        <v>124</v>
      </c>
      <c r="B400">
        <v>100</v>
      </c>
      <c r="C400" t="s">
        <v>20</v>
      </c>
      <c r="D400" t="s">
        <v>23</v>
      </c>
      <c r="E400">
        <v>1</v>
      </c>
      <c r="F400" t="s">
        <v>17</v>
      </c>
      <c r="G400">
        <v>2</v>
      </c>
      <c r="H400" t="s">
        <v>18</v>
      </c>
      <c r="I400">
        <v>1</v>
      </c>
      <c r="J400">
        <v>51.84187652</v>
      </c>
      <c r="K400">
        <v>40.657018749999999</v>
      </c>
      <c r="L400">
        <v>0.50424623000000002</v>
      </c>
      <c r="M400">
        <v>3</v>
      </c>
      <c r="N400">
        <v>-0.71512840099999997</v>
      </c>
    </row>
    <row r="401" spans="1:14" x14ac:dyDescent="0.3">
      <c r="A401" t="s">
        <v>124</v>
      </c>
      <c r="B401">
        <v>100</v>
      </c>
      <c r="C401" t="s">
        <v>21</v>
      </c>
      <c r="D401" t="s">
        <v>23</v>
      </c>
      <c r="E401">
        <v>1</v>
      </c>
      <c r="F401" t="s">
        <v>17</v>
      </c>
      <c r="G401">
        <v>2</v>
      </c>
      <c r="H401" t="s">
        <v>18</v>
      </c>
      <c r="I401">
        <v>1</v>
      </c>
      <c r="J401">
        <v>51.84187652</v>
      </c>
      <c r="L401">
        <v>0.200804184</v>
      </c>
      <c r="M401">
        <v>4</v>
      </c>
      <c r="N401">
        <v>0.86522310000000002</v>
      </c>
    </row>
    <row r="402" spans="1:14" x14ac:dyDescent="0.3">
      <c r="A402" t="s">
        <v>125</v>
      </c>
      <c r="B402">
        <v>101</v>
      </c>
      <c r="C402" t="s">
        <v>15</v>
      </c>
      <c r="D402" t="s">
        <v>16</v>
      </c>
      <c r="E402">
        <v>2</v>
      </c>
      <c r="F402" t="s">
        <v>33</v>
      </c>
      <c r="G402">
        <v>3</v>
      </c>
      <c r="H402" t="s">
        <v>25</v>
      </c>
      <c r="I402">
        <v>0</v>
      </c>
      <c r="J402">
        <v>38.980275499999998</v>
      </c>
      <c r="L402">
        <v>0.16038435700000001</v>
      </c>
      <c r="M402">
        <v>1</v>
      </c>
      <c r="N402">
        <v>1.0744409580000001</v>
      </c>
    </row>
    <row r="403" spans="1:14" x14ac:dyDescent="0.3">
      <c r="A403" t="s">
        <v>125</v>
      </c>
      <c r="B403">
        <v>101</v>
      </c>
      <c r="C403" t="s">
        <v>19</v>
      </c>
      <c r="D403" t="s">
        <v>16</v>
      </c>
      <c r="E403">
        <v>2</v>
      </c>
      <c r="F403" t="s">
        <v>33</v>
      </c>
      <c r="G403">
        <v>3</v>
      </c>
      <c r="H403" t="s">
        <v>25</v>
      </c>
      <c r="I403">
        <v>0</v>
      </c>
      <c r="J403">
        <v>38.980275499999998</v>
      </c>
      <c r="K403">
        <v>43.032546809999999</v>
      </c>
      <c r="L403">
        <v>0.479507393</v>
      </c>
      <c r="M403">
        <v>2</v>
      </c>
      <c r="N403">
        <v>1.895654774</v>
      </c>
    </row>
    <row r="404" spans="1:14" x14ac:dyDescent="0.3">
      <c r="A404" t="s">
        <v>125</v>
      </c>
      <c r="B404">
        <v>101</v>
      </c>
      <c r="C404" t="s">
        <v>20</v>
      </c>
      <c r="D404" t="s">
        <v>16</v>
      </c>
      <c r="E404">
        <v>2</v>
      </c>
      <c r="F404" t="s">
        <v>33</v>
      </c>
      <c r="G404">
        <v>3</v>
      </c>
      <c r="H404" t="s">
        <v>25</v>
      </c>
      <c r="I404">
        <v>0</v>
      </c>
      <c r="J404">
        <v>38.980275499999998</v>
      </c>
      <c r="K404">
        <v>54.657154400000003</v>
      </c>
      <c r="L404">
        <v>0.31167163599999997</v>
      </c>
      <c r="M404">
        <v>3</v>
      </c>
      <c r="N404">
        <v>-0.60299730399999996</v>
      </c>
    </row>
    <row r="405" spans="1:14" x14ac:dyDescent="0.3">
      <c r="A405" t="s">
        <v>125</v>
      </c>
      <c r="B405">
        <v>101</v>
      </c>
      <c r="C405" t="s">
        <v>21</v>
      </c>
      <c r="D405" t="s">
        <v>16</v>
      </c>
      <c r="E405">
        <v>2</v>
      </c>
      <c r="F405" t="s">
        <v>33</v>
      </c>
      <c r="G405">
        <v>3</v>
      </c>
      <c r="H405" t="s">
        <v>25</v>
      </c>
      <c r="I405">
        <v>0</v>
      </c>
      <c r="J405">
        <v>38.980275499999998</v>
      </c>
      <c r="L405">
        <v>0.28459685899999998</v>
      </c>
      <c r="M405">
        <v>4</v>
      </c>
      <c r="N405">
        <v>-0.390867821</v>
      </c>
    </row>
    <row r="406" spans="1:14" x14ac:dyDescent="0.3">
      <c r="A406" t="s">
        <v>126</v>
      </c>
      <c r="B406">
        <v>102</v>
      </c>
      <c r="C406" t="s">
        <v>15</v>
      </c>
      <c r="D406" t="s">
        <v>23</v>
      </c>
      <c r="E406">
        <v>1</v>
      </c>
      <c r="F406" t="s">
        <v>24</v>
      </c>
      <c r="G406">
        <v>1</v>
      </c>
      <c r="H406" t="s">
        <v>18</v>
      </c>
      <c r="I406">
        <v>1</v>
      </c>
      <c r="J406">
        <v>52.179964820000002</v>
      </c>
      <c r="K406">
        <v>35.557415059999997</v>
      </c>
      <c r="L406">
        <v>0.57695950900000004</v>
      </c>
      <c r="M406">
        <v>1</v>
      </c>
      <c r="N406">
        <v>-0.41622203200000002</v>
      </c>
    </row>
    <row r="407" spans="1:14" x14ac:dyDescent="0.3">
      <c r="A407" t="s">
        <v>126</v>
      </c>
      <c r="B407">
        <v>102</v>
      </c>
      <c r="C407" t="s">
        <v>19</v>
      </c>
      <c r="D407" t="s">
        <v>23</v>
      </c>
      <c r="E407">
        <v>1</v>
      </c>
      <c r="F407" t="s">
        <v>24</v>
      </c>
      <c r="G407">
        <v>1</v>
      </c>
      <c r="H407" t="s">
        <v>18</v>
      </c>
      <c r="I407">
        <v>1</v>
      </c>
      <c r="J407">
        <v>52.179964820000002</v>
      </c>
      <c r="K407">
        <v>43.702152589999997</v>
      </c>
      <c r="L407">
        <v>0.22714046299999999</v>
      </c>
      <c r="M407">
        <v>2</v>
      </c>
      <c r="N407">
        <v>-0.37565742299999999</v>
      </c>
    </row>
    <row r="408" spans="1:14" x14ac:dyDescent="0.3">
      <c r="A408" t="s">
        <v>126</v>
      </c>
      <c r="B408">
        <v>102</v>
      </c>
      <c r="C408" t="s">
        <v>20</v>
      </c>
      <c r="D408" t="s">
        <v>23</v>
      </c>
      <c r="E408">
        <v>1</v>
      </c>
      <c r="F408" t="s">
        <v>24</v>
      </c>
      <c r="G408">
        <v>1</v>
      </c>
      <c r="H408" t="s">
        <v>18</v>
      </c>
      <c r="I408">
        <v>1</v>
      </c>
      <c r="J408">
        <v>52.179964820000002</v>
      </c>
      <c r="K408">
        <v>42.521568700000003</v>
      </c>
      <c r="L408">
        <v>0.78404386999999998</v>
      </c>
      <c r="M408">
        <v>3</v>
      </c>
      <c r="N408">
        <v>-0.36663094600000001</v>
      </c>
    </row>
    <row r="409" spans="1:14" x14ac:dyDescent="0.3">
      <c r="A409" t="s">
        <v>126</v>
      </c>
      <c r="B409">
        <v>102</v>
      </c>
      <c r="C409" t="s">
        <v>21</v>
      </c>
      <c r="D409" t="s">
        <v>23</v>
      </c>
      <c r="E409">
        <v>1</v>
      </c>
      <c r="F409" t="s">
        <v>24</v>
      </c>
      <c r="G409">
        <v>1</v>
      </c>
      <c r="H409" t="s">
        <v>18</v>
      </c>
      <c r="I409">
        <v>1</v>
      </c>
      <c r="J409">
        <v>52.179964820000002</v>
      </c>
      <c r="K409">
        <v>54.893365920000001</v>
      </c>
      <c r="L409">
        <v>0.28996303699999998</v>
      </c>
      <c r="M409">
        <v>4</v>
      </c>
      <c r="N409">
        <v>-0.29567745299999998</v>
      </c>
    </row>
    <row r="410" spans="1:14" x14ac:dyDescent="0.3">
      <c r="A410" t="s">
        <v>127</v>
      </c>
      <c r="B410">
        <v>103</v>
      </c>
      <c r="C410" t="s">
        <v>15</v>
      </c>
      <c r="D410" t="s">
        <v>23</v>
      </c>
      <c r="E410">
        <v>1</v>
      </c>
      <c r="F410" t="s">
        <v>24</v>
      </c>
      <c r="G410">
        <v>1</v>
      </c>
      <c r="H410" t="s">
        <v>18</v>
      </c>
      <c r="I410">
        <v>1</v>
      </c>
      <c r="J410">
        <v>26.99262864</v>
      </c>
      <c r="K410">
        <v>32.03460029</v>
      </c>
      <c r="L410">
        <v>0.73768935899999999</v>
      </c>
      <c r="M410">
        <v>1</v>
      </c>
      <c r="N410">
        <v>1.4418204100000001</v>
      </c>
    </row>
    <row r="411" spans="1:14" x14ac:dyDescent="0.3">
      <c r="A411" t="s">
        <v>127</v>
      </c>
      <c r="B411">
        <v>103</v>
      </c>
      <c r="C411" t="s">
        <v>19</v>
      </c>
      <c r="D411" t="s">
        <v>23</v>
      </c>
      <c r="E411">
        <v>1</v>
      </c>
      <c r="F411" t="s">
        <v>24</v>
      </c>
      <c r="G411">
        <v>1</v>
      </c>
      <c r="H411" t="s">
        <v>18</v>
      </c>
      <c r="I411">
        <v>1</v>
      </c>
      <c r="J411">
        <v>26.99262864</v>
      </c>
      <c r="K411">
        <v>29.451072580000002</v>
      </c>
      <c r="L411">
        <v>0.16278847299999999</v>
      </c>
      <c r="M411">
        <v>2</v>
      </c>
      <c r="N411">
        <v>-0.69753829199999995</v>
      </c>
    </row>
    <row r="412" spans="1:14" x14ac:dyDescent="0.3">
      <c r="A412" t="s">
        <v>127</v>
      </c>
      <c r="B412">
        <v>103</v>
      </c>
      <c r="C412" t="s">
        <v>20</v>
      </c>
      <c r="D412" t="s">
        <v>23</v>
      </c>
      <c r="E412">
        <v>1</v>
      </c>
      <c r="F412" t="s">
        <v>24</v>
      </c>
      <c r="G412">
        <v>1</v>
      </c>
      <c r="H412" t="s">
        <v>18</v>
      </c>
      <c r="I412">
        <v>1</v>
      </c>
      <c r="J412">
        <v>26.99262864</v>
      </c>
      <c r="K412">
        <v>45.351381400000001</v>
      </c>
      <c r="L412">
        <v>0.53351690600000001</v>
      </c>
      <c r="M412">
        <v>3</v>
      </c>
      <c r="N412">
        <v>-0.388167506</v>
      </c>
    </row>
    <row r="413" spans="1:14" x14ac:dyDescent="0.3">
      <c r="A413" t="s">
        <v>127</v>
      </c>
      <c r="B413">
        <v>103</v>
      </c>
      <c r="C413" t="s">
        <v>21</v>
      </c>
      <c r="D413" t="s">
        <v>23</v>
      </c>
      <c r="E413">
        <v>1</v>
      </c>
      <c r="F413" t="s">
        <v>24</v>
      </c>
      <c r="G413">
        <v>1</v>
      </c>
      <c r="H413" t="s">
        <v>18</v>
      </c>
      <c r="I413">
        <v>1</v>
      </c>
      <c r="J413">
        <v>26.99262864</v>
      </c>
      <c r="L413">
        <v>0.67355569599999998</v>
      </c>
      <c r="M413">
        <v>4</v>
      </c>
      <c r="N413">
        <v>0.65253645199999999</v>
      </c>
    </row>
    <row r="414" spans="1:14" x14ac:dyDescent="0.3">
      <c r="A414" t="s">
        <v>128</v>
      </c>
      <c r="B414">
        <v>104</v>
      </c>
      <c r="C414" t="s">
        <v>15</v>
      </c>
      <c r="D414" t="s">
        <v>23</v>
      </c>
      <c r="E414">
        <v>1</v>
      </c>
      <c r="F414" t="s">
        <v>17</v>
      </c>
      <c r="G414">
        <v>2</v>
      </c>
      <c r="H414" t="s">
        <v>18</v>
      </c>
      <c r="I414">
        <v>1</v>
      </c>
      <c r="J414">
        <v>27.04319383</v>
      </c>
      <c r="K414">
        <v>38.737840060000003</v>
      </c>
      <c r="L414">
        <v>0.13262346899999999</v>
      </c>
      <c r="M414">
        <v>1</v>
      </c>
      <c r="N414">
        <v>1.124772447</v>
      </c>
    </row>
    <row r="415" spans="1:14" x14ac:dyDescent="0.3">
      <c r="A415" t="s">
        <v>128</v>
      </c>
      <c r="B415">
        <v>104</v>
      </c>
      <c r="C415" t="s">
        <v>19</v>
      </c>
      <c r="D415" t="s">
        <v>23</v>
      </c>
      <c r="E415">
        <v>1</v>
      </c>
      <c r="F415" t="s">
        <v>17</v>
      </c>
      <c r="G415">
        <v>2</v>
      </c>
      <c r="H415" t="s">
        <v>18</v>
      </c>
      <c r="I415">
        <v>1</v>
      </c>
      <c r="J415">
        <v>27.04319383</v>
      </c>
      <c r="L415">
        <v>0.120480358</v>
      </c>
      <c r="M415">
        <v>2</v>
      </c>
      <c r="N415">
        <v>-0.77211080300000001</v>
      </c>
    </row>
    <row r="416" spans="1:14" x14ac:dyDescent="0.3">
      <c r="A416" t="s">
        <v>128</v>
      </c>
      <c r="B416">
        <v>104</v>
      </c>
      <c r="C416" t="s">
        <v>20</v>
      </c>
      <c r="D416" t="s">
        <v>23</v>
      </c>
      <c r="E416">
        <v>1</v>
      </c>
      <c r="F416" t="s">
        <v>17</v>
      </c>
      <c r="G416">
        <v>2</v>
      </c>
      <c r="H416" t="s">
        <v>18</v>
      </c>
      <c r="I416">
        <v>1</v>
      </c>
      <c r="J416">
        <v>27.04319383</v>
      </c>
      <c r="K416">
        <v>41.422834649999999</v>
      </c>
      <c r="L416">
        <v>0.69249314500000003</v>
      </c>
      <c r="M416">
        <v>3</v>
      </c>
      <c r="N416">
        <v>-0.50808621600000003</v>
      </c>
    </row>
    <row r="417" spans="1:14" x14ac:dyDescent="0.3">
      <c r="A417" t="s">
        <v>128</v>
      </c>
      <c r="B417">
        <v>104</v>
      </c>
      <c r="C417" t="s">
        <v>21</v>
      </c>
      <c r="D417" t="s">
        <v>23</v>
      </c>
      <c r="E417">
        <v>1</v>
      </c>
      <c r="F417" t="s">
        <v>17</v>
      </c>
      <c r="G417">
        <v>2</v>
      </c>
      <c r="H417" t="s">
        <v>18</v>
      </c>
      <c r="I417">
        <v>1</v>
      </c>
      <c r="J417">
        <v>27.04319383</v>
      </c>
      <c r="K417">
        <v>47.323847899999997</v>
      </c>
      <c r="L417">
        <v>0.71611925300000001</v>
      </c>
      <c r="M417">
        <v>4</v>
      </c>
      <c r="N417">
        <v>0.52362059000000005</v>
      </c>
    </row>
    <row r="418" spans="1:14" x14ac:dyDescent="0.3">
      <c r="A418" t="s">
        <v>129</v>
      </c>
      <c r="B418">
        <v>105</v>
      </c>
      <c r="C418" t="s">
        <v>15</v>
      </c>
      <c r="D418" t="s">
        <v>16</v>
      </c>
      <c r="E418">
        <v>2</v>
      </c>
      <c r="F418" t="s">
        <v>17</v>
      </c>
      <c r="G418">
        <v>2</v>
      </c>
      <c r="H418" t="s">
        <v>18</v>
      </c>
      <c r="I418">
        <v>1</v>
      </c>
      <c r="J418">
        <v>38.587493420000001</v>
      </c>
      <c r="L418">
        <v>0.53094255199999996</v>
      </c>
      <c r="M418">
        <v>1</v>
      </c>
      <c r="N418">
        <v>1.017754227</v>
      </c>
    </row>
    <row r="419" spans="1:14" x14ac:dyDescent="0.3">
      <c r="A419" t="s">
        <v>129</v>
      </c>
      <c r="B419">
        <v>105</v>
      </c>
      <c r="C419" t="s">
        <v>19</v>
      </c>
      <c r="D419" t="s">
        <v>16</v>
      </c>
      <c r="E419">
        <v>2</v>
      </c>
      <c r="F419" t="s">
        <v>17</v>
      </c>
      <c r="G419">
        <v>2</v>
      </c>
      <c r="H419" t="s">
        <v>18</v>
      </c>
      <c r="I419">
        <v>1</v>
      </c>
      <c r="J419">
        <v>38.587493420000001</v>
      </c>
      <c r="K419">
        <v>47.553095460000002</v>
      </c>
      <c r="L419">
        <v>0.41050915300000002</v>
      </c>
      <c r="M419">
        <v>2</v>
      </c>
      <c r="N419">
        <v>-0.25116458800000002</v>
      </c>
    </row>
    <row r="420" spans="1:14" x14ac:dyDescent="0.3">
      <c r="A420" t="s">
        <v>129</v>
      </c>
      <c r="B420">
        <v>105</v>
      </c>
      <c r="C420" t="s">
        <v>20</v>
      </c>
      <c r="D420" t="s">
        <v>16</v>
      </c>
      <c r="E420">
        <v>2</v>
      </c>
      <c r="F420" t="s">
        <v>17</v>
      </c>
      <c r="G420">
        <v>2</v>
      </c>
      <c r="H420" t="s">
        <v>18</v>
      </c>
      <c r="I420">
        <v>1</v>
      </c>
      <c r="J420">
        <v>38.587493420000001</v>
      </c>
      <c r="K420">
        <v>49.065089710000002</v>
      </c>
      <c r="L420">
        <v>0.47553416199999998</v>
      </c>
      <c r="M420">
        <v>3</v>
      </c>
      <c r="N420">
        <v>-1.429993447</v>
      </c>
    </row>
    <row r="421" spans="1:14" x14ac:dyDescent="0.3">
      <c r="A421" t="s">
        <v>129</v>
      </c>
      <c r="B421">
        <v>105</v>
      </c>
      <c r="C421" t="s">
        <v>21</v>
      </c>
      <c r="D421" t="s">
        <v>16</v>
      </c>
      <c r="E421">
        <v>2</v>
      </c>
      <c r="F421" t="s">
        <v>17</v>
      </c>
      <c r="G421">
        <v>2</v>
      </c>
      <c r="H421" t="s">
        <v>18</v>
      </c>
      <c r="I421">
        <v>1</v>
      </c>
      <c r="J421">
        <v>38.587493420000001</v>
      </c>
      <c r="L421">
        <v>0.19798918800000001</v>
      </c>
      <c r="M421">
        <v>4</v>
      </c>
      <c r="N421">
        <v>1.7091210320000001</v>
      </c>
    </row>
    <row r="422" spans="1:14" x14ac:dyDescent="0.3">
      <c r="A422" t="s">
        <v>130</v>
      </c>
      <c r="B422">
        <v>106</v>
      </c>
      <c r="C422" t="s">
        <v>15</v>
      </c>
      <c r="D422" t="s">
        <v>16</v>
      </c>
      <c r="E422">
        <v>2</v>
      </c>
      <c r="F422" t="s">
        <v>24</v>
      </c>
      <c r="G422">
        <v>1</v>
      </c>
      <c r="H422" t="s">
        <v>18</v>
      </c>
      <c r="I422">
        <v>1</v>
      </c>
      <c r="J422">
        <v>44.31046508</v>
      </c>
      <c r="K422">
        <v>29.225909990000002</v>
      </c>
      <c r="L422">
        <v>0.77151136499999995</v>
      </c>
      <c r="M422">
        <v>1</v>
      </c>
      <c r="N422">
        <v>1.435069572</v>
      </c>
    </row>
    <row r="423" spans="1:14" x14ac:dyDescent="0.3">
      <c r="A423" t="s">
        <v>130</v>
      </c>
      <c r="B423">
        <v>106</v>
      </c>
      <c r="C423" t="s">
        <v>19</v>
      </c>
      <c r="D423" t="s">
        <v>16</v>
      </c>
      <c r="E423">
        <v>2</v>
      </c>
      <c r="F423" t="s">
        <v>24</v>
      </c>
      <c r="G423">
        <v>1</v>
      </c>
      <c r="H423" t="s">
        <v>18</v>
      </c>
      <c r="I423">
        <v>1</v>
      </c>
      <c r="J423">
        <v>44.31046508</v>
      </c>
      <c r="K423">
        <v>40.08174915</v>
      </c>
      <c r="L423">
        <v>0.31389642699999998</v>
      </c>
      <c r="M423">
        <v>2</v>
      </c>
      <c r="N423">
        <v>-0.71037114599999995</v>
      </c>
    </row>
    <row r="424" spans="1:14" x14ac:dyDescent="0.3">
      <c r="A424" t="s">
        <v>130</v>
      </c>
      <c r="B424">
        <v>106</v>
      </c>
      <c r="C424" t="s">
        <v>20</v>
      </c>
      <c r="D424" t="s">
        <v>16</v>
      </c>
      <c r="E424">
        <v>2</v>
      </c>
      <c r="F424" t="s">
        <v>24</v>
      </c>
      <c r="G424">
        <v>1</v>
      </c>
      <c r="H424" t="s">
        <v>18</v>
      </c>
      <c r="I424">
        <v>1</v>
      </c>
      <c r="J424">
        <v>44.31046508</v>
      </c>
      <c r="K424">
        <v>45.681416239999997</v>
      </c>
      <c r="L424">
        <v>0.25608087600000001</v>
      </c>
      <c r="M424">
        <v>3</v>
      </c>
      <c r="N424">
        <v>-6.5067574000000003E-2</v>
      </c>
    </row>
    <row r="425" spans="1:14" x14ac:dyDescent="0.3">
      <c r="A425" t="s">
        <v>130</v>
      </c>
      <c r="B425">
        <v>106</v>
      </c>
      <c r="C425" t="s">
        <v>21</v>
      </c>
      <c r="D425" t="s">
        <v>16</v>
      </c>
      <c r="E425">
        <v>2</v>
      </c>
      <c r="F425" t="s">
        <v>24</v>
      </c>
      <c r="G425">
        <v>1</v>
      </c>
      <c r="H425" t="s">
        <v>18</v>
      </c>
      <c r="I425">
        <v>1</v>
      </c>
      <c r="J425">
        <v>44.31046508</v>
      </c>
      <c r="K425">
        <v>41.474030249999998</v>
      </c>
      <c r="L425">
        <v>0.30104012600000002</v>
      </c>
      <c r="M425">
        <v>4</v>
      </c>
      <c r="N425">
        <v>-1.759468735</v>
      </c>
    </row>
    <row r="426" spans="1:14" x14ac:dyDescent="0.3">
      <c r="A426" t="s">
        <v>131</v>
      </c>
      <c r="B426">
        <v>107</v>
      </c>
      <c r="C426" t="s">
        <v>15</v>
      </c>
      <c r="D426" t="s">
        <v>23</v>
      </c>
      <c r="E426">
        <v>1</v>
      </c>
      <c r="F426" t="s">
        <v>33</v>
      </c>
      <c r="G426">
        <v>3</v>
      </c>
      <c r="H426" t="s">
        <v>18</v>
      </c>
      <c r="I426">
        <v>1</v>
      </c>
      <c r="J426">
        <v>41.464612299999999</v>
      </c>
      <c r="L426">
        <v>0.411306326</v>
      </c>
      <c r="M426">
        <v>1</v>
      </c>
      <c r="N426">
        <v>0.56972297199999999</v>
      </c>
    </row>
    <row r="427" spans="1:14" x14ac:dyDescent="0.3">
      <c r="A427" t="s">
        <v>131</v>
      </c>
      <c r="B427">
        <v>107</v>
      </c>
      <c r="C427" t="s">
        <v>19</v>
      </c>
      <c r="D427" t="s">
        <v>23</v>
      </c>
      <c r="E427">
        <v>1</v>
      </c>
      <c r="F427" t="s">
        <v>33</v>
      </c>
      <c r="G427">
        <v>3</v>
      </c>
      <c r="H427" t="s">
        <v>18</v>
      </c>
      <c r="I427">
        <v>1</v>
      </c>
      <c r="J427">
        <v>41.464612299999999</v>
      </c>
      <c r="L427">
        <v>0.77487968399999996</v>
      </c>
      <c r="M427">
        <v>2</v>
      </c>
      <c r="N427">
        <v>1.6123467979999999</v>
      </c>
    </row>
    <row r="428" spans="1:14" x14ac:dyDescent="0.3">
      <c r="A428" t="s">
        <v>131</v>
      </c>
      <c r="B428">
        <v>107</v>
      </c>
      <c r="C428" t="s">
        <v>20</v>
      </c>
      <c r="D428" t="s">
        <v>23</v>
      </c>
      <c r="E428">
        <v>1</v>
      </c>
      <c r="F428" t="s">
        <v>33</v>
      </c>
      <c r="G428">
        <v>3</v>
      </c>
      <c r="H428" t="s">
        <v>18</v>
      </c>
      <c r="I428">
        <v>1</v>
      </c>
      <c r="J428">
        <v>41.464612299999999</v>
      </c>
      <c r="K428">
        <v>42.519702199999998</v>
      </c>
      <c r="L428">
        <v>0.88447794499999999</v>
      </c>
      <c r="M428">
        <v>3</v>
      </c>
      <c r="N428">
        <v>-1.6372806470000001</v>
      </c>
    </row>
    <row r="429" spans="1:14" x14ac:dyDescent="0.3">
      <c r="A429" t="s">
        <v>131</v>
      </c>
      <c r="B429">
        <v>107</v>
      </c>
      <c r="C429" t="s">
        <v>21</v>
      </c>
      <c r="D429" t="s">
        <v>23</v>
      </c>
      <c r="E429">
        <v>1</v>
      </c>
      <c r="F429" t="s">
        <v>33</v>
      </c>
      <c r="G429">
        <v>3</v>
      </c>
      <c r="H429" t="s">
        <v>18</v>
      </c>
      <c r="I429">
        <v>1</v>
      </c>
      <c r="J429">
        <v>41.464612299999999</v>
      </c>
      <c r="K429">
        <v>69.360987140000006</v>
      </c>
      <c r="L429">
        <v>0.34505575500000002</v>
      </c>
      <c r="M429">
        <v>4</v>
      </c>
      <c r="N429">
        <v>-0.77956851299999996</v>
      </c>
    </row>
    <row r="430" spans="1:14" x14ac:dyDescent="0.3">
      <c r="A430" t="s">
        <v>132</v>
      </c>
      <c r="B430">
        <v>108</v>
      </c>
      <c r="C430" t="s">
        <v>15</v>
      </c>
      <c r="D430" t="s">
        <v>16</v>
      </c>
      <c r="E430">
        <v>2</v>
      </c>
      <c r="F430" t="s">
        <v>33</v>
      </c>
      <c r="G430">
        <v>3</v>
      </c>
      <c r="H430" t="s">
        <v>25</v>
      </c>
      <c r="I430">
        <v>0</v>
      </c>
      <c r="J430">
        <v>50.997042810000003</v>
      </c>
      <c r="K430">
        <v>42.397601229999999</v>
      </c>
      <c r="L430">
        <v>0.31633342199999998</v>
      </c>
      <c r="M430">
        <v>1</v>
      </c>
      <c r="N430">
        <v>-0.64117693399999998</v>
      </c>
    </row>
    <row r="431" spans="1:14" x14ac:dyDescent="0.3">
      <c r="A431" t="s">
        <v>132</v>
      </c>
      <c r="B431">
        <v>108</v>
      </c>
      <c r="C431" t="s">
        <v>19</v>
      </c>
      <c r="D431" t="s">
        <v>16</v>
      </c>
      <c r="E431">
        <v>2</v>
      </c>
      <c r="F431" t="s">
        <v>33</v>
      </c>
      <c r="G431">
        <v>3</v>
      </c>
      <c r="H431" t="s">
        <v>25</v>
      </c>
      <c r="I431">
        <v>0</v>
      </c>
      <c r="J431">
        <v>50.997042810000003</v>
      </c>
      <c r="K431">
        <v>43.723762649999998</v>
      </c>
      <c r="L431">
        <v>0.59835007799999995</v>
      </c>
      <c r="M431">
        <v>2</v>
      </c>
      <c r="N431">
        <v>-0.681131394</v>
      </c>
    </row>
    <row r="432" spans="1:14" x14ac:dyDescent="0.3">
      <c r="A432" t="s">
        <v>132</v>
      </c>
      <c r="B432">
        <v>108</v>
      </c>
      <c r="C432" t="s">
        <v>20</v>
      </c>
      <c r="D432" t="s">
        <v>16</v>
      </c>
      <c r="E432">
        <v>2</v>
      </c>
      <c r="F432" t="s">
        <v>33</v>
      </c>
      <c r="G432">
        <v>3</v>
      </c>
      <c r="H432" t="s">
        <v>25</v>
      </c>
      <c r="I432">
        <v>0</v>
      </c>
      <c r="J432">
        <v>50.997042810000003</v>
      </c>
      <c r="K432">
        <v>49.476013000000002</v>
      </c>
      <c r="L432">
        <v>0.59908144100000005</v>
      </c>
      <c r="M432">
        <v>3</v>
      </c>
      <c r="N432">
        <v>-2.0332855959999998</v>
      </c>
    </row>
    <row r="433" spans="1:14" x14ac:dyDescent="0.3">
      <c r="A433" t="s">
        <v>132</v>
      </c>
      <c r="B433">
        <v>108</v>
      </c>
      <c r="C433" t="s">
        <v>21</v>
      </c>
      <c r="D433" t="s">
        <v>16</v>
      </c>
      <c r="E433">
        <v>2</v>
      </c>
      <c r="F433" t="s">
        <v>33</v>
      </c>
      <c r="G433">
        <v>3</v>
      </c>
      <c r="H433" t="s">
        <v>25</v>
      </c>
      <c r="I433">
        <v>0</v>
      </c>
      <c r="J433">
        <v>50.997042810000003</v>
      </c>
      <c r="K433">
        <v>51.941884450000003</v>
      </c>
      <c r="L433">
        <v>0.144632175</v>
      </c>
      <c r="M433">
        <v>4</v>
      </c>
      <c r="N433">
        <v>0.500963559</v>
      </c>
    </row>
    <row r="434" spans="1:14" x14ac:dyDescent="0.3">
      <c r="A434" t="s">
        <v>133</v>
      </c>
      <c r="B434">
        <v>109</v>
      </c>
      <c r="C434" t="s">
        <v>15</v>
      </c>
      <c r="D434" t="s">
        <v>23</v>
      </c>
      <c r="E434">
        <v>1</v>
      </c>
      <c r="F434" t="s">
        <v>17</v>
      </c>
      <c r="G434">
        <v>2</v>
      </c>
      <c r="H434" t="s">
        <v>18</v>
      </c>
      <c r="I434">
        <v>1</v>
      </c>
      <c r="J434">
        <v>42.262212220000002</v>
      </c>
      <c r="L434">
        <v>0.69637376799999995</v>
      </c>
      <c r="M434">
        <v>1</v>
      </c>
      <c r="N434">
        <v>-1.53179814</v>
      </c>
    </row>
    <row r="435" spans="1:14" x14ac:dyDescent="0.3">
      <c r="A435" t="s">
        <v>133</v>
      </c>
      <c r="B435">
        <v>109</v>
      </c>
      <c r="C435" t="s">
        <v>19</v>
      </c>
      <c r="D435" t="s">
        <v>23</v>
      </c>
      <c r="E435">
        <v>1</v>
      </c>
      <c r="F435" t="s">
        <v>17</v>
      </c>
      <c r="G435">
        <v>2</v>
      </c>
      <c r="H435" t="s">
        <v>18</v>
      </c>
      <c r="I435">
        <v>1</v>
      </c>
      <c r="J435">
        <v>42.262212220000002</v>
      </c>
      <c r="K435">
        <v>40.591001859999999</v>
      </c>
      <c r="L435">
        <v>0.34867068899999998</v>
      </c>
      <c r="M435">
        <v>2</v>
      </c>
      <c r="N435">
        <v>-2.4997638999999999E-2</v>
      </c>
    </row>
    <row r="436" spans="1:14" x14ac:dyDescent="0.3">
      <c r="A436" t="s">
        <v>133</v>
      </c>
      <c r="B436">
        <v>109</v>
      </c>
      <c r="C436" t="s">
        <v>20</v>
      </c>
      <c r="D436" t="s">
        <v>23</v>
      </c>
      <c r="E436">
        <v>1</v>
      </c>
      <c r="F436" t="s">
        <v>17</v>
      </c>
      <c r="G436">
        <v>2</v>
      </c>
      <c r="H436" t="s">
        <v>18</v>
      </c>
      <c r="I436">
        <v>1</v>
      </c>
      <c r="J436">
        <v>42.262212220000002</v>
      </c>
      <c r="K436">
        <v>39.978332399999999</v>
      </c>
      <c r="L436">
        <v>0.134013146</v>
      </c>
      <c r="M436">
        <v>3</v>
      </c>
      <c r="N436">
        <v>0.59298472099999999</v>
      </c>
    </row>
    <row r="437" spans="1:14" x14ac:dyDescent="0.3">
      <c r="A437" t="s">
        <v>133</v>
      </c>
      <c r="B437">
        <v>109</v>
      </c>
      <c r="C437" t="s">
        <v>21</v>
      </c>
      <c r="D437" t="s">
        <v>23</v>
      </c>
      <c r="E437">
        <v>1</v>
      </c>
      <c r="F437" t="s">
        <v>17</v>
      </c>
      <c r="G437">
        <v>2</v>
      </c>
      <c r="H437" t="s">
        <v>18</v>
      </c>
      <c r="I437">
        <v>1</v>
      </c>
      <c r="J437">
        <v>42.262212220000002</v>
      </c>
      <c r="K437">
        <v>31.690491430000002</v>
      </c>
      <c r="L437">
        <v>0.55384203499999995</v>
      </c>
      <c r="M437">
        <v>4</v>
      </c>
      <c r="N437">
        <v>-0.19819542100000001</v>
      </c>
    </row>
    <row r="438" spans="1:14" x14ac:dyDescent="0.3">
      <c r="A438" t="s">
        <v>134</v>
      </c>
      <c r="B438">
        <v>110</v>
      </c>
      <c r="C438" t="s">
        <v>15</v>
      </c>
      <c r="D438" t="s">
        <v>16</v>
      </c>
      <c r="E438">
        <v>2</v>
      </c>
      <c r="F438" t="s">
        <v>24</v>
      </c>
      <c r="G438">
        <v>1</v>
      </c>
      <c r="H438" t="s">
        <v>25</v>
      </c>
      <c r="I438">
        <v>0</v>
      </c>
      <c r="J438">
        <v>34.166269970000002</v>
      </c>
      <c r="L438">
        <v>0.113116626</v>
      </c>
      <c r="M438">
        <v>1</v>
      </c>
      <c r="N438">
        <v>0.89200839200000004</v>
      </c>
    </row>
    <row r="439" spans="1:14" x14ac:dyDescent="0.3">
      <c r="A439" t="s">
        <v>134</v>
      </c>
      <c r="B439">
        <v>110</v>
      </c>
      <c r="C439" t="s">
        <v>19</v>
      </c>
      <c r="D439" t="s">
        <v>16</v>
      </c>
      <c r="E439">
        <v>2</v>
      </c>
      <c r="F439" t="s">
        <v>24</v>
      </c>
      <c r="G439">
        <v>1</v>
      </c>
      <c r="H439" t="s">
        <v>25</v>
      </c>
      <c r="I439">
        <v>0</v>
      </c>
      <c r="J439">
        <v>34.166269970000002</v>
      </c>
      <c r="K439">
        <v>37.205173240000001</v>
      </c>
      <c r="L439">
        <v>0.80069223499999997</v>
      </c>
      <c r="M439">
        <v>2</v>
      </c>
      <c r="N439">
        <v>-2.5715070999999999E-2</v>
      </c>
    </row>
    <row r="440" spans="1:14" x14ac:dyDescent="0.3">
      <c r="A440" t="s">
        <v>134</v>
      </c>
      <c r="B440">
        <v>110</v>
      </c>
      <c r="C440" t="s">
        <v>20</v>
      </c>
      <c r="D440" t="s">
        <v>16</v>
      </c>
      <c r="E440">
        <v>2</v>
      </c>
      <c r="F440" t="s">
        <v>24</v>
      </c>
      <c r="G440">
        <v>1</v>
      </c>
      <c r="H440" t="s">
        <v>25</v>
      </c>
      <c r="I440">
        <v>0</v>
      </c>
      <c r="J440">
        <v>34.166269970000002</v>
      </c>
      <c r="K440">
        <v>46.28739564</v>
      </c>
      <c r="L440">
        <v>0.52198683499999998</v>
      </c>
      <c r="M440">
        <v>3</v>
      </c>
      <c r="N440">
        <v>-0.64766045100000003</v>
      </c>
    </row>
    <row r="441" spans="1:14" x14ac:dyDescent="0.3">
      <c r="A441" t="s">
        <v>134</v>
      </c>
      <c r="B441">
        <v>110</v>
      </c>
      <c r="C441" t="s">
        <v>21</v>
      </c>
      <c r="D441" t="s">
        <v>16</v>
      </c>
      <c r="E441">
        <v>2</v>
      </c>
      <c r="F441" t="s">
        <v>24</v>
      </c>
      <c r="G441">
        <v>1</v>
      </c>
      <c r="H441" t="s">
        <v>25</v>
      </c>
      <c r="I441">
        <v>0</v>
      </c>
      <c r="J441">
        <v>34.166269970000002</v>
      </c>
      <c r="L441">
        <v>0.18756508499999999</v>
      </c>
      <c r="M441">
        <v>4</v>
      </c>
      <c r="N441">
        <v>0.64635941500000005</v>
      </c>
    </row>
    <row r="442" spans="1:14" x14ac:dyDescent="0.3">
      <c r="A442" t="s">
        <v>135</v>
      </c>
      <c r="B442">
        <v>111</v>
      </c>
      <c r="C442" t="s">
        <v>15</v>
      </c>
      <c r="D442" t="s">
        <v>23</v>
      </c>
      <c r="E442">
        <v>1</v>
      </c>
      <c r="F442" t="s">
        <v>33</v>
      </c>
      <c r="G442">
        <v>3</v>
      </c>
      <c r="H442" t="s">
        <v>18</v>
      </c>
      <c r="I442">
        <v>1</v>
      </c>
      <c r="J442">
        <v>37.007722530000002</v>
      </c>
      <c r="L442">
        <v>0.74580322600000004</v>
      </c>
      <c r="M442">
        <v>1</v>
      </c>
      <c r="N442">
        <v>-0.43383273999999999</v>
      </c>
    </row>
    <row r="443" spans="1:14" x14ac:dyDescent="0.3">
      <c r="A443" t="s">
        <v>135</v>
      </c>
      <c r="B443">
        <v>111</v>
      </c>
      <c r="C443" t="s">
        <v>19</v>
      </c>
      <c r="D443" t="s">
        <v>23</v>
      </c>
      <c r="E443">
        <v>1</v>
      </c>
      <c r="F443" t="s">
        <v>33</v>
      </c>
      <c r="G443">
        <v>3</v>
      </c>
      <c r="H443" t="s">
        <v>18</v>
      </c>
      <c r="I443">
        <v>1</v>
      </c>
      <c r="J443">
        <v>37.007722530000002</v>
      </c>
      <c r="L443">
        <v>0.74726179500000001</v>
      </c>
      <c r="M443">
        <v>2</v>
      </c>
      <c r="N443">
        <v>1.7726111849999999</v>
      </c>
    </row>
    <row r="444" spans="1:14" x14ac:dyDescent="0.3">
      <c r="A444" t="s">
        <v>135</v>
      </c>
      <c r="B444">
        <v>111</v>
      </c>
      <c r="C444" t="s">
        <v>20</v>
      </c>
      <c r="D444" t="s">
        <v>23</v>
      </c>
      <c r="E444">
        <v>1</v>
      </c>
      <c r="F444" t="s">
        <v>33</v>
      </c>
      <c r="G444">
        <v>3</v>
      </c>
      <c r="H444" t="s">
        <v>18</v>
      </c>
      <c r="I444">
        <v>1</v>
      </c>
      <c r="J444">
        <v>37.007722530000002</v>
      </c>
      <c r="L444">
        <v>0.108807501</v>
      </c>
      <c r="M444">
        <v>3</v>
      </c>
      <c r="N444">
        <v>-1.8259711000000001E-2</v>
      </c>
    </row>
    <row r="445" spans="1:14" x14ac:dyDescent="0.3">
      <c r="A445" t="s">
        <v>135</v>
      </c>
      <c r="B445">
        <v>111</v>
      </c>
      <c r="C445" t="s">
        <v>21</v>
      </c>
      <c r="D445" t="s">
        <v>23</v>
      </c>
      <c r="E445">
        <v>1</v>
      </c>
      <c r="F445" t="s">
        <v>33</v>
      </c>
      <c r="G445">
        <v>3</v>
      </c>
      <c r="H445" t="s">
        <v>18</v>
      </c>
      <c r="I445">
        <v>1</v>
      </c>
      <c r="J445">
        <v>37.007722530000002</v>
      </c>
      <c r="K445">
        <v>41.58720477</v>
      </c>
      <c r="L445">
        <v>0.64672584</v>
      </c>
      <c r="M445">
        <v>4</v>
      </c>
      <c r="N445">
        <v>0.85281499400000005</v>
      </c>
    </row>
    <row r="446" spans="1:14" x14ac:dyDescent="0.3">
      <c r="A446" t="s">
        <v>136</v>
      </c>
      <c r="B446">
        <v>112</v>
      </c>
      <c r="C446" t="s">
        <v>15</v>
      </c>
      <c r="D446" t="s">
        <v>23</v>
      </c>
      <c r="E446">
        <v>1</v>
      </c>
      <c r="F446" t="s">
        <v>17</v>
      </c>
      <c r="G446">
        <v>2</v>
      </c>
      <c r="H446" t="s">
        <v>18</v>
      </c>
      <c r="I446">
        <v>1</v>
      </c>
      <c r="J446">
        <v>40.2566883</v>
      </c>
      <c r="K446">
        <v>32.173647250000002</v>
      </c>
      <c r="L446">
        <v>0.45224579500000001</v>
      </c>
      <c r="M446">
        <v>1</v>
      </c>
      <c r="N446">
        <v>0.20516290300000001</v>
      </c>
    </row>
    <row r="447" spans="1:14" x14ac:dyDescent="0.3">
      <c r="A447" t="s">
        <v>136</v>
      </c>
      <c r="B447">
        <v>112</v>
      </c>
      <c r="C447" t="s">
        <v>19</v>
      </c>
      <c r="D447" t="s">
        <v>23</v>
      </c>
      <c r="E447">
        <v>1</v>
      </c>
      <c r="F447" t="s">
        <v>17</v>
      </c>
      <c r="G447">
        <v>2</v>
      </c>
      <c r="H447" t="s">
        <v>18</v>
      </c>
      <c r="I447">
        <v>1</v>
      </c>
      <c r="J447">
        <v>40.2566883</v>
      </c>
      <c r="L447">
        <v>0.82246808299999996</v>
      </c>
      <c r="M447">
        <v>2</v>
      </c>
      <c r="N447">
        <v>-3.0080485989999999</v>
      </c>
    </row>
    <row r="448" spans="1:14" x14ac:dyDescent="0.3">
      <c r="A448" t="s">
        <v>136</v>
      </c>
      <c r="B448">
        <v>112</v>
      </c>
      <c r="C448" t="s">
        <v>20</v>
      </c>
      <c r="D448" t="s">
        <v>23</v>
      </c>
      <c r="E448">
        <v>1</v>
      </c>
      <c r="F448" t="s">
        <v>17</v>
      </c>
      <c r="G448">
        <v>2</v>
      </c>
      <c r="H448" t="s">
        <v>18</v>
      </c>
      <c r="I448">
        <v>1</v>
      </c>
      <c r="J448">
        <v>40.2566883</v>
      </c>
      <c r="K448">
        <v>40.693753870000002</v>
      </c>
      <c r="L448">
        <v>0.415239044</v>
      </c>
      <c r="M448">
        <v>3</v>
      </c>
      <c r="N448">
        <v>-1.3661119310000001</v>
      </c>
    </row>
    <row r="449" spans="1:14" x14ac:dyDescent="0.3">
      <c r="A449" t="s">
        <v>136</v>
      </c>
      <c r="B449">
        <v>112</v>
      </c>
      <c r="C449" t="s">
        <v>21</v>
      </c>
      <c r="D449" t="s">
        <v>23</v>
      </c>
      <c r="E449">
        <v>1</v>
      </c>
      <c r="F449" t="s">
        <v>17</v>
      </c>
      <c r="G449">
        <v>2</v>
      </c>
      <c r="H449" t="s">
        <v>18</v>
      </c>
      <c r="I449">
        <v>1</v>
      </c>
      <c r="J449">
        <v>40.2566883</v>
      </c>
      <c r="L449">
        <v>0.10340342900000001</v>
      </c>
      <c r="M449">
        <v>4</v>
      </c>
      <c r="N449">
        <v>-0.42410226000000001</v>
      </c>
    </row>
    <row r="450" spans="1:14" x14ac:dyDescent="0.3">
      <c r="A450" t="s">
        <v>137</v>
      </c>
      <c r="B450">
        <v>113</v>
      </c>
      <c r="C450" t="s">
        <v>15</v>
      </c>
      <c r="D450" t="s">
        <v>23</v>
      </c>
      <c r="E450">
        <v>1</v>
      </c>
      <c r="F450" t="s">
        <v>24</v>
      </c>
      <c r="G450">
        <v>1</v>
      </c>
      <c r="H450" t="s">
        <v>25</v>
      </c>
      <c r="I450">
        <v>0</v>
      </c>
      <c r="J450">
        <v>41.880398360000001</v>
      </c>
      <c r="K450">
        <v>32.287706640000003</v>
      </c>
      <c r="L450">
        <v>0.87070398299999996</v>
      </c>
      <c r="M450">
        <v>1</v>
      </c>
      <c r="N450">
        <v>0.236803664</v>
      </c>
    </row>
    <row r="451" spans="1:14" x14ac:dyDescent="0.3">
      <c r="A451" t="s">
        <v>137</v>
      </c>
      <c r="B451">
        <v>113</v>
      </c>
      <c r="C451" t="s">
        <v>19</v>
      </c>
      <c r="D451" t="s">
        <v>23</v>
      </c>
      <c r="E451">
        <v>1</v>
      </c>
      <c r="F451" t="s">
        <v>24</v>
      </c>
      <c r="G451">
        <v>1</v>
      </c>
      <c r="H451" t="s">
        <v>25</v>
      </c>
      <c r="I451">
        <v>0</v>
      </c>
      <c r="J451">
        <v>41.880398360000001</v>
      </c>
      <c r="K451">
        <v>41.762051890000002</v>
      </c>
      <c r="L451">
        <v>0.87354819399999994</v>
      </c>
      <c r="M451">
        <v>2</v>
      </c>
      <c r="N451">
        <v>-2.34272312</v>
      </c>
    </row>
    <row r="452" spans="1:14" x14ac:dyDescent="0.3">
      <c r="A452" t="s">
        <v>137</v>
      </c>
      <c r="B452">
        <v>113</v>
      </c>
      <c r="C452" t="s">
        <v>20</v>
      </c>
      <c r="D452" t="s">
        <v>23</v>
      </c>
      <c r="E452">
        <v>1</v>
      </c>
      <c r="F452" t="s">
        <v>24</v>
      </c>
      <c r="G452">
        <v>1</v>
      </c>
      <c r="H452" t="s">
        <v>25</v>
      </c>
      <c r="I452">
        <v>0</v>
      </c>
      <c r="J452">
        <v>41.880398360000001</v>
      </c>
      <c r="K452">
        <v>40.067675010000002</v>
      </c>
      <c r="L452">
        <v>0.69943476900000001</v>
      </c>
      <c r="M452">
        <v>3</v>
      </c>
      <c r="N452">
        <v>0.96169663299999997</v>
      </c>
    </row>
    <row r="453" spans="1:14" x14ac:dyDescent="0.3">
      <c r="A453" t="s">
        <v>137</v>
      </c>
      <c r="B453">
        <v>113</v>
      </c>
      <c r="C453" t="s">
        <v>21</v>
      </c>
      <c r="D453" t="s">
        <v>23</v>
      </c>
      <c r="E453">
        <v>1</v>
      </c>
      <c r="F453" t="s">
        <v>24</v>
      </c>
      <c r="G453">
        <v>1</v>
      </c>
      <c r="H453" t="s">
        <v>25</v>
      </c>
      <c r="I453">
        <v>0</v>
      </c>
      <c r="J453">
        <v>41.880398360000001</v>
      </c>
      <c r="L453">
        <v>0.42003311199999999</v>
      </c>
      <c r="M453">
        <v>4</v>
      </c>
      <c r="N453">
        <v>-0.60442573399999999</v>
      </c>
    </row>
    <row r="454" spans="1:14" x14ac:dyDescent="0.3">
      <c r="A454" t="s">
        <v>138</v>
      </c>
      <c r="B454">
        <v>114</v>
      </c>
      <c r="C454" t="s">
        <v>15</v>
      </c>
      <c r="D454" t="s">
        <v>23</v>
      </c>
      <c r="E454">
        <v>1</v>
      </c>
      <c r="F454" t="s">
        <v>17</v>
      </c>
      <c r="G454">
        <v>2</v>
      </c>
      <c r="H454" t="s">
        <v>25</v>
      </c>
      <c r="I454">
        <v>0</v>
      </c>
      <c r="J454">
        <v>40.20954442</v>
      </c>
      <c r="K454">
        <v>29.142127869999999</v>
      </c>
      <c r="L454">
        <v>0.43368526400000001</v>
      </c>
      <c r="M454">
        <v>1</v>
      </c>
      <c r="N454">
        <v>-0.75287727900000001</v>
      </c>
    </row>
    <row r="455" spans="1:14" x14ac:dyDescent="0.3">
      <c r="A455" t="s">
        <v>138</v>
      </c>
      <c r="B455">
        <v>114</v>
      </c>
      <c r="C455" t="s">
        <v>19</v>
      </c>
      <c r="D455" t="s">
        <v>23</v>
      </c>
      <c r="E455">
        <v>1</v>
      </c>
      <c r="F455" t="s">
        <v>17</v>
      </c>
      <c r="G455">
        <v>2</v>
      </c>
      <c r="H455" t="s">
        <v>25</v>
      </c>
      <c r="I455">
        <v>0</v>
      </c>
      <c r="J455">
        <v>40.20954442</v>
      </c>
      <c r="K455">
        <v>39.509887550000002</v>
      </c>
      <c r="L455">
        <v>0.75809321600000001</v>
      </c>
      <c r="M455">
        <v>2</v>
      </c>
      <c r="N455">
        <v>-1.5556115930000001</v>
      </c>
    </row>
    <row r="456" spans="1:14" x14ac:dyDescent="0.3">
      <c r="A456" t="s">
        <v>138</v>
      </c>
      <c r="B456">
        <v>114</v>
      </c>
      <c r="C456" t="s">
        <v>20</v>
      </c>
      <c r="D456" t="s">
        <v>23</v>
      </c>
      <c r="E456">
        <v>1</v>
      </c>
      <c r="F456" t="s">
        <v>17</v>
      </c>
      <c r="G456">
        <v>2</v>
      </c>
      <c r="H456" t="s">
        <v>25</v>
      </c>
      <c r="I456">
        <v>0</v>
      </c>
      <c r="J456">
        <v>40.20954442</v>
      </c>
      <c r="K456">
        <v>43.323491240000003</v>
      </c>
      <c r="L456">
        <v>0.50388799299999998</v>
      </c>
      <c r="M456">
        <v>3</v>
      </c>
      <c r="N456">
        <v>-1.4538937380000001</v>
      </c>
    </row>
    <row r="457" spans="1:14" x14ac:dyDescent="0.3">
      <c r="A457" t="s">
        <v>138</v>
      </c>
      <c r="B457">
        <v>114</v>
      </c>
      <c r="C457" t="s">
        <v>21</v>
      </c>
      <c r="D457" t="s">
        <v>23</v>
      </c>
      <c r="E457">
        <v>1</v>
      </c>
      <c r="F457" t="s">
        <v>17</v>
      </c>
      <c r="G457">
        <v>2</v>
      </c>
      <c r="H457" t="s">
        <v>25</v>
      </c>
      <c r="I457">
        <v>0</v>
      </c>
      <c r="J457">
        <v>40.20954442</v>
      </c>
      <c r="K457">
        <v>47.167558569999997</v>
      </c>
      <c r="L457">
        <v>0.65700556600000004</v>
      </c>
      <c r="M457">
        <v>4</v>
      </c>
      <c r="N457">
        <v>5.6331836000000003E-2</v>
      </c>
    </row>
    <row r="458" spans="1:14" x14ac:dyDescent="0.3">
      <c r="A458" t="s">
        <v>139</v>
      </c>
      <c r="B458">
        <v>115</v>
      </c>
      <c r="C458" t="s">
        <v>15</v>
      </c>
      <c r="D458" t="s">
        <v>23</v>
      </c>
      <c r="E458">
        <v>1</v>
      </c>
      <c r="F458" t="s">
        <v>24</v>
      </c>
      <c r="G458">
        <v>1</v>
      </c>
      <c r="H458" t="s">
        <v>18</v>
      </c>
      <c r="I458">
        <v>1</v>
      </c>
      <c r="J458">
        <v>41.063220569999999</v>
      </c>
      <c r="K458">
        <v>40.930200749999997</v>
      </c>
      <c r="L458">
        <v>0.849999638</v>
      </c>
      <c r="M458">
        <v>1</v>
      </c>
      <c r="N458">
        <v>0.509369407</v>
      </c>
    </row>
    <row r="459" spans="1:14" x14ac:dyDescent="0.3">
      <c r="A459" t="s">
        <v>139</v>
      </c>
      <c r="B459">
        <v>115</v>
      </c>
      <c r="C459" t="s">
        <v>19</v>
      </c>
      <c r="D459" t="s">
        <v>23</v>
      </c>
      <c r="E459">
        <v>1</v>
      </c>
      <c r="F459" t="s">
        <v>24</v>
      </c>
      <c r="G459">
        <v>1</v>
      </c>
      <c r="H459" t="s">
        <v>18</v>
      </c>
      <c r="I459">
        <v>1</v>
      </c>
      <c r="J459">
        <v>41.063220569999999</v>
      </c>
      <c r="K459">
        <v>42.19405957</v>
      </c>
      <c r="L459">
        <v>0.30477716199999999</v>
      </c>
      <c r="M459">
        <v>2</v>
      </c>
      <c r="N459">
        <v>-2.0978829600000002</v>
      </c>
    </row>
    <row r="460" spans="1:14" x14ac:dyDescent="0.3">
      <c r="A460" t="s">
        <v>139</v>
      </c>
      <c r="B460">
        <v>115</v>
      </c>
      <c r="C460" t="s">
        <v>20</v>
      </c>
      <c r="D460" t="s">
        <v>23</v>
      </c>
      <c r="E460">
        <v>1</v>
      </c>
      <c r="F460" t="s">
        <v>24</v>
      </c>
      <c r="G460">
        <v>1</v>
      </c>
      <c r="H460" t="s">
        <v>18</v>
      </c>
      <c r="I460">
        <v>1</v>
      </c>
      <c r="J460">
        <v>41.063220569999999</v>
      </c>
      <c r="K460">
        <v>41.21057416</v>
      </c>
      <c r="L460">
        <v>0.52464344299999999</v>
      </c>
      <c r="M460">
        <v>3</v>
      </c>
      <c r="N460">
        <v>-1.004361979</v>
      </c>
    </row>
    <row r="461" spans="1:14" x14ac:dyDescent="0.3">
      <c r="A461" t="s">
        <v>139</v>
      </c>
      <c r="B461">
        <v>115</v>
      </c>
      <c r="C461" t="s">
        <v>21</v>
      </c>
      <c r="D461" t="s">
        <v>23</v>
      </c>
      <c r="E461">
        <v>1</v>
      </c>
      <c r="F461" t="s">
        <v>24</v>
      </c>
      <c r="G461">
        <v>1</v>
      </c>
      <c r="H461" t="s">
        <v>18</v>
      </c>
      <c r="I461">
        <v>1</v>
      </c>
      <c r="J461">
        <v>41.063220569999999</v>
      </c>
      <c r="L461">
        <v>0.17352179000000001</v>
      </c>
      <c r="M461">
        <v>4</v>
      </c>
      <c r="N461">
        <v>0.53577172200000001</v>
      </c>
    </row>
    <row r="462" spans="1:14" x14ac:dyDescent="0.3">
      <c r="A462" t="s">
        <v>140</v>
      </c>
      <c r="B462">
        <v>116</v>
      </c>
      <c r="C462" t="s">
        <v>15</v>
      </c>
      <c r="D462" t="s">
        <v>16</v>
      </c>
      <c r="E462">
        <v>2</v>
      </c>
      <c r="F462" t="s">
        <v>17</v>
      </c>
      <c r="G462">
        <v>2</v>
      </c>
      <c r="H462" t="s">
        <v>25</v>
      </c>
      <c r="I462">
        <v>0</v>
      </c>
      <c r="J462">
        <v>29.82930889</v>
      </c>
      <c r="K462">
        <v>38.543302400000002</v>
      </c>
      <c r="L462">
        <v>0.52500798800000004</v>
      </c>
      <c r="M462">
        <v>1</v>
      </c>
      <c r="N462">
        <v>-0.45303708500000001</v>
      </c>
    </row>
    <row r="463" spans="1:14" x14ac:dyDescent="0.3">
      <c r="A463" t="s">
        <v>140</v>
      </c>
      <c r="B463">
        <v>116</v>
      </c>
      <c r="C463" t="s">
        <v>19</v>
      </c>
      <c r="D463" t="s">
        <v>16</v>
      </c>
      <c r="E463">
        <v>2</v>
      </c>
      <c r="F463" t="s">
        <v>17</v>
      </c>
      <c r="G463">
        <v>2</v>
      </c>
      <c r="H463" t="s">
        <v>25</v>
      </c>
      <c r="I463">
        <v>0</v>
      </c>
      <c r="J463">
        <v>29.82930889</v>
      </c>
      <c r="L463">
        <v>0.83953182999999998</v>
      </c>
      <c r="M463">
        <v>2</v>
      </c>
      <c r="N463">
        <v>2.1653685020000002</v>
      </c>
    </row>
    <row r="464" spans="1:14" x14ac:dyDescent="0.3">
      <c r="A464" t="s">
        <v>140</v>
      </c>
      <c r="B464">
        <v>116</v>
      </c>
      <c r="C464" t="s">
        <v>20</v>
      </c>
      <c r="D464" t="s">
        <v>16</v>
      </c>
      <c r="E464">
        <v>2</v>
      </c>
      <c r="F464" t="s">
        <v>17</v>
      </c>
      <c r="G464">
        <v>2</v>
      </c>
      <c r="H464" t="s">
        <v>25</v>
      </c>
      <c r="I464">
        <v>0</v>
      </c>
      <c r="J464">
        <v>29.82930889</v>
      </c>
      <c r="K464">
        <v>43.96323924</v>
      </c>
      <c r="L464">
        <v>0.27433037300000002</v>
      </c>
      <c r="M464">
        <v>3</v>
      </c>
      <c r="N464">
        <v>1.245746673</v>
      </c>
    </row>
    <row r="465" spans="1:14" x14ac:dyDescent="0.3">
      <c r="A465" t="s">
        <v>140</v>
      </c>
      <c r="B465">
        <v>116</v>
      </c>
      <c r="C465" t="s">
        <v>21</v>
      </c>
      <c r="D465" t="s">
        <v>16</v>
      </c>
      <c r="E465">
        <v>2</v>
      </c>
      <c r="F465" t="s">
        <v>17</v>
      </c>
      <c r="G465">
        <v>2</v>
      </c>
      <c r="H465" t="s">
        <v>25</v>
      </c>
      <c r="I465">
        <v>0</v>
      </c>
      <c r="J465">
        <v>29.82930889</v>
      </c>
      <c r="K465">
        <v>42.676516470000003</v>
      </c>
      <c r="L465">
        <v>0.78886890600000004</v>
      </c>
      <c r="M465">
        <v>4</v>
      </c>
      <c r="N465">
        <v>0.59549803400000001</v>
      </c>
    </row>
    <row r="466" spans="1:14" x14ac:dyDescent="0.3">
      <c r="A466" t="s">
        <v>141</v>
      </c>
      <c r="B466">
        <v>117</v>
      </c>
      <c r="C466" t="s">
        <v>15</v>
      </c>
      <c r="D466" t="s">
        <v>23</v>
      </c>
      <c r="E466">
        <v>1</v>
      </c>
      <c r="F466" t="s">
        <v>17</v>
      </c>
      <c r="G466">
        <v>2</v>
      </c>
      <c r="H466" t="s">
        <v>25</v>
      </c>
      <c r="I466">
        <v>0</v>
      </c>
      <c r="J466">
        <v>49.233903490000003</v>
      </c>
      <c r="K466">
        <v>22.79583564</v>
      </c>
      <c r="L466">
        <v>0.55291338800000001</v>
      </c>
      <c r="M466">
        <v>1</v>
      </c>
      <c r="N466">
        <v>4.8844500000000002E-3</v>
      </c>
    </row>
    <row r="467" spans="1:14" x14ac:dyDescent="0.3">
      <c r="A467" t="s">
        <v>141</v>
      </c>
      <c r="B467">
        <v>117</v>
      </c>
      <c r="C467" t="s">
        <v>19</v>
      </c>
      <c r="D467" t="s">
        <v>23</v>
      </c>
      <c r="E467">
        <v>1</v>
      </c>
      <c r="F467" t="s">
        <v>17</v>
      </c>
      <c r="G467">
        <v>2</v>
      </c>
      <c r="H467" t="s">
        <v>25</v>
      </c>
      <c r="I467">
        <v>0</v>
      </c>
      <c r="J467">
        <v>49.233903490000003</v>
      </c>
      <c r="L467">
        <v>0.41798484600000002</v>
      </c>
      <c r="M467">
        <v>2</v>
      </c>
      <c r="N467">
        <v>0.27936078199999997</v>
      </c>
    </row>
    <row r="468" spans="1:14" x14ac:dyDescent="0.3">
      <c r="A468" t="s">
        <v>141</v>
      </c>
      <c r="B468">
        <v>117</v>
      </c>
      <c r="C468" t="s">
        <v>20</v>
      </c>
      <c r="D468" t="s">
        <v>23</v>
      </c>
      <c r="E468">
        <v>1</v>
      </c>
      <c r="F468" t="s">
        <v>17</v>
      </c>
      <c r="G468">
        <v>2</v>
      </c>
      <c r="H468" t="s">
        <v>25</v>
      </c>
      <c r="I468">
        <v>0</v>
      </c>
      <c r="J468">
        <v>49.233903490000003</v>
      </c>
      <c r="L468">
        <v>0.58369622799999998</v>
      </c>
      <c r="M468">
        <v>3</v>
      </c>
      <c r="N468">
        <v>-0.70590612500000005</v>
      </c>
    </row>
    <row r="469" spans="1:14" x14ac:dyDescent="0.3">
      <c r="A469" t="s">
        <v>141</v>
      </c>
      <c r="B469">
        <v>117</v>
      </c>
      <c r="C469" t="s">
        <v>21</v>
      </c>
      <c r="D469" t="s">
        <v>23</v>
      </c>
      <c r="E469">
        <v>1</v>
      </c>
      <c r="F469" t="s">
        <v>17</v>
      </c>
      <c r="G469">
        <v>2</v>
      </c>
      <c r="H469" t="s">
        <v>25</v>
      </c>
      <c r="I469">
        <v>0</v>
      </c>
      <c r="J469">
        <v>49.233903490000003</v>
      </c>
      <c r="L469">
        <v>0.40110234900000002</v>
      </c>
      <c r="M469">
        <v>4</v>
      </c>
      <c r="N469">
        <v>0.62801715300000005</v>
      </c>
    </row>
    <row r="470" spans="1:14" x14ac:dyDescent="0.3">
      <c r="A470" t="s">
        <v>142</v>
      </c>
      <c r="B470">
        <v>118</v>
      </c>
      <c r="C470" t="s">
        <v>15</v>
      </c>
      <c r="D470" t="s">
        <v>23</v>
      </c>
      <c r="E470">
        <v>1</v>
      </c>
      <c r="F470" t="s">
        <v>24</v>
      </c>
      <c r="G470">
        <v>1</v>
      </c>
      <c r="H470" t="s">
        <v>18</v>
      </c>
      <c r="I470">
        <v>1</v>
      </c>
      <c r="J470">
        <v>35.315541580000001</v>
      </c>
      <c r="K470">
        <v>31.435589539999999</v>
      </c>
      <c r="L470">
        <v>0.750781268</v>
      </c>
      <c r="M470">
        <v>1</v>
      </c>
      <c r="N470">
        <v>1.4802139599999999</v>
      </c>
    </row>
    <row r="471" spans="1:14" x14ac:dyDescent="0.3">
      <c r="A471" t="s">
        <v>142</v>
      </c>
      <c r="B471">
        <v>118</v>
      </c>
      <c r="C471" t="s">
        <v>19</v>
      </c>
      <c r="D471" t="s">
        <v>23</v>
      </c>
      <c r="E471">
        <v>1</v>
      </c>
      <c r="F471" t="s">
        <v>24</v>
      </c>
      <c r="G471">
        <v>1</v>
      </c>
      <c r="H471" t="s">
        <v>18</v>
      </c>
      <c r="I471">
        <v>1</v>
      </c>
      <c r="J471">
        <v>35.315541580000001</v>
      </c>
      <c r="K471">
        <v>38.850636260000002</v>
      </c>
      <c r="L471">
        <v>0.33383118499999997</v>
      </c>
      <c r="M471">
        <v>2</v>
      </c>
      <c r="N471">
        <v>1.08342991</v>
      </c>
    </row>
    <row r="472" spans="1:14" x14ac:dyDescent="0.3">
      <c r="A472" t="s">
        <v>142</v>
      </c>
      <c r="B472">
        <v>118</v>
      </c>
      <c r="C472" t="s">
        <v>20</v>
      </c>
      <c r="D472" t="s">
        <v>23</v>
      </c>
      <c r="E472">
        <v>1</v>
      </c>
      <c r="F472" t="s">
        <v>24</v>
      </c>
      <c r="G472">
        <v>1</v>
      </c>
      <c r="H472" t="s">
        <v>18</v>
      </c>
      <c r="I472">
        <v>1</v>
      </c>
      <c r="J472">
        <v>35.315541580000001</v>
      </c>
      <c r="K472">
        <v>48.242880929999998</v>
      </c>
      <c r="L472">
        <v>0.35594577100000002</v>
      </c>
      <c r="M472">
        <v>3</v>
      </c>
      <c r="N472">
        <v>-0.81324425700000003</v>
      </c>
    </row>
    <row r="473" spans="1:14" x14ac:dyDescent="0.3">
      <c r="A473" t="s">
        <v>142</v>
      </c>
      <c r="B473">
        <v>118</v>
      </c>
      <c r="C473" t="s">
        <v>21</v>
      </c>
      <c r="D473" t="s">
        <v>23</v>
      </c>
      <c r="E473">
        <v>1</v>
      </c>
      <c r="F473" t="s">
        <v>24</v>
      </c>
      <c r="G473">
        <v>1</v>
      </c>
      <c r="H473" t="s">
        <v>18</v>
      </c>
      <c r="I473">
        <v>1</v>
      </c>
      <c r="J473">
        <v>35.315541580000001</v>
      </c>
      <c r="L473">
        <v>0.43359606899999997</v>
      </c>
      <c r="M473">
        <v>4</v>
      </c>
      <c r="N473">
        <v>-1.6188768490000001</v>
      </c>
    </row>
    <row r="474" spans="1:14" x14ac:dyDescent="0.3">
      <c r="A474" t="s">
        <v>143</v>
      </c>
      <c r="B474">
        <v>119</v>
      </c>
      <c r="C474" t="s">
        <v>15</v>
      </c>
      <c r="D474" t="s">
        <v>16</v>
      </c>
      <c r="E474">
        <v>2</v>
      </c>
      <c r="F474" t="s">
        <v>33</v>
      </c>
      <c r="G474">
        <v>3</v>
      </c>
      <c r="H474" t="s">
        <v>25</v>
      </c>
      <c r="I474">
        <v>0</v>
      </c>
      <c r="J474">
        <v>48.695792099999998</v>
      </c>
      <c r="K474">
        <v>44.713024439999998</v>
      </c>
      <c r="L474">
        <v>0.72070928700000003</v>
      </c>
      <c r="M474">
        <v>1</v>
      </c>
      <c r="N474">
        <v>-0.109655699</v>
      </c>
    </row>
    <row r="475" spans="1:14" x14ac:dyDescent="0.3">
      <c r="A475" t="s">
        <v>143</v>
      </c>
      <c r="B475">
        <v>119</v>
      </c>
      <c r="C475" t="s">
        <v>19</v>
      </c>
      <c r="D475" t="s">
        <v>16</v>
      </c>
      <c r="E475">
        <v>2</v>
      </c>
      <c r="F475" t="s">
        <v>33</v>
      </c>
      <c r="G475">
        <v>3</v>
      </c>
      <c r="H475" t="s">
        <v>25</v>
      </c>
      <c r="I475">
        <v>0</v>
      </c>
      <c r="J475">
        <v>48.695792099999998</v>
      </c>
      <c r="K475">
        <v>51.853703179999997</v>
      </c>
      <c r="L475">
        <v>0.61240967199999996</v>
      </c>
      <c r="M475">
        <v>2</v>
      </c>
      <c r="N475">
        <v>0.44088937099999997</v>
      </c>
    </row>
    <row r="476" spans="1:14" x14ac:dyDescent="0.3">
      <c r="A476" t="s">
        <v>143</v>
      </c>
      <c r="B476">
        <v>119</v>
      </c>
      <c r="C476" t="s">
        <v>20</v>
      </c>
      <c r="D476" t="s">
        <v>16</v>
      </c>
      <c r="E476">
        <v>2</v>
      </c>
      <c r="F476" t="s">
        <v>33</v>
      </c>
      <c r="G476">
        <v>3</v>
      </c>
      <c r="H476" t="s">
        <v>25</v>
      </c>
      <c r="I476">
        <v>0</v>
      </c>
      <c r="J476">
        <v>48.695792099999998</v>
      </c>
      <c r="L476">
        <v>0.30841775399999999</v>
      </c>
      <c r="M476">
        <v>3</v>
      </c>
      <c r="N476">
        <v>1.3509939799999999</v>
      </c>
    </row>
    <row r="477" spans="1:14" x14ac:dyDescent="0.3">
      <c r="A477" t="s">
        <v>143</v>
      </c>
      <c r="B477">
        <v>119</v>
      </c>
      <c r="C477" t="s">
        <v>21</v>
      </c>
      <c r="D477" t="s">
        <v>16</v>
      </c>
      <c r="E477">
        <v>2</v>
      </c>
      <c r="F477" t="s">
        <v>33</v>
      </c>
      <c r="G477">
        <v>3</v>
      </c>
      <c r="H477" t="s">
        <v>25</v>
      </c>
      <c r="I477">
        <v>0</v>
      </c>
      <c r="J477">
        <v>48.695792099999998</v>
      </c>
      <c r="L477">
        <v>0.35014631499999999</v>
      </c>
      <c r="M477">
        <v>4</v>
      </c>
      <c r="N477">
        <v>-1.3186094850000001</v>
      </c>
    </row>
    <row r="478" spans="1:14" x14ac:dyDescent="0.3">
      <c r="A478" t="s">
        <v>144</v>
      </c>
      <c r="B478">
        <v>120</v>
      </c>
      <c r="C478" t="s">
        <v>15</v>
      </c>
      <c r="D478" t="s">
        <v>23</v>
      </c>
      <c r="E478">
        <v>1</v>
      </c>
      <c r="F478" t="s">
        <v>24</v>
      </c>
      <c r="G478">
        <v>1</v>
      </c>
      <c r="H478" t="s">
        <v>18</v>
      </c>
      <c r="I478">
        <v>1</v>
      </c>
      <c r="J478">
        <v>53.248494319999999</v>
      </c>
      <c r="K478">
        <v>30.56756906</v>
      </c>
      <c r="L478">
        <v>0.687912419</v>
      </c>
      <c r="M478">
        <v>1</v>
      </c>
      <c r="N478">
        <v>0.36438459299999998</v>
      </c>
    </row>
    <row r="479" spans="1:14" x14ac:dyDescent="0.3">
      <c r="A479" t="s">
        <v>144</v>
      </c>
      <c r="B479">
        <v>120</v>
      </c>
      <c r="C479" t="s">
        <v>19</v>
      </c>
      <c r="D479" t="s">
        <v>23</v>
      </c>
      <c r="E479">
        <v>1</v>
      </c>
      <c r="F479" t="s">
        <v>24</v>
      </c>
      <c r="G479">
        <v>1</v>
      </c>
      <c r="H479" t="s">
        <v>18</v>
      </c>
      <c r="I479">
        <v>1</v>
      </c>
      <c r="J479">
        <v>53.248494319999999</v>
      </c>
      <c r="L479">
        <v>0.72052832600000005</v>
      </c>
      <c r="M479">
        <v>2</v>
      </c>
      <c r="N479">
        <v>0.23349983499999999</v>
      </c>
    </row>
    <row r="480" spans="1:14" x14ac:dyDescent="0.3">
      <c r="A480" t="s">
        <v>144</v>
      </c>
      <c r="B480">
        <v>120</v>
      </c>
      <c r="C480" t="s">
        <v>20</v>
      </c>
      <c r="D480" t="s">
        <v>23</v>
      </c>
      <c r="E480">
        <v>1</v>
      </c>
      <c r="F480" t="s">
        <v>24</v>
      </c>
      <c r="G480">
        <v>1</v>
      </c>
      <c r="H480" t="s">
        <v>18</v>
      </c>
      <c r="I480">
        <v>1</v>
      </c>
      <c r="J480">
        <v>53.248494319999999</v>
      </c>
      <c r="L480">
        <v>0.57844840799999997</v>
      </c>
      <c r="M480">
        <v>3</v>
      </c>
      <c r="N480">
        <v>1.1939552609999999</v>
      </c>
    </row>
    <row r="481" spans="1:14" x14ac:dyDescent="0.3">
      <c r="A481" t="s">
        <v>144</v>
      </c>
      <c r="B481">
        <v>120</v>
      </c>
      <c r="C481" t="s">
        <v>21</v>
      </c>
      <c r="D481" t="s">
        <v>23</v>
      </c>
      <c r="E481">
        <v>1</v>
      </c>
      <c r="F481" t="s">
        <v>24</v>
      </c>
      <c r="G481">
        <v>1</v>
      </c>
      <c r="H481" t="s">
        <v>18</v>
      </c>
      <c r="I481">
        <v>1</v>
      </c>
      <c r="J481">
        <v>53.248494319999999</v>
      </c>
      <c r="L481">
        <v>0.19328556699999999</v>
      </c>
      <c r="M481">
        <v>4</v>
      </c>
      <c r="N481">
        <v>-2.7909972000000002E-2</v>
      </c>
    </row>
    <row r="482" spans="1:14" x14ac:dyDescent="0.3">
      <c r="A482" t="s">
        <v>145</v>
      </c>
      <c r="B482">
        <v>121</v>
      </c>
      <c r="C482" t="s">
        <v>15</v>
      </c>
      <c r="D482" t="s">
        <v>16</v>
      </c>
      <c r="E482">
        <v>2</v>
      </c>
      <c r="F482" t="s">
        <v>17</v>
      </c>
      <c r="G482">
        <v>2</v>
      </c>
      <c r="H482" t="s">
        <v>25</v>
      </c>
      <c r="I482">
        <v>0</v>
      </c>
      <c r="J482">
        <v>30.335696309999999</v>
      </c>
      <c r="L482">
        <v>0.29355198300000002</v>
      </c>
      <c r="M482">
        <v>1</v>
      </c>
      <c r="N482">
        <v>-0.35729885500000003</v>
      </c>
    </row>
    <row r="483" spans="1:14" x14ac:dyDescent="0.3">
      <c r="A483" t="s">
        <v>145</v>
      </c>
      <c r="B483">
        <v>121</v>
      </c>
      <c r="C483" t="s">
        <v>19</v>
      </c>
      <c r="D483" t="s">
        <v>16</v>
      </c>
      <c r="E483">
        <v>2</v>
      </c>
      <c r="F483" t="s">
        <v>17</v>
      </c>
      <c r="G483">
        <v>2</v>
      </c>
      <c r="H483" t="s">
        <v>25</v>
      </c>
      <c r="I483">
        <v>0</v>
      </c>
      <c r="J483">
        <v>30.335696309999999</v>
      </c>
      <c r="L483">
        <v>0.31147759200000003</v>
      </c>
      <c r="M483">
        <v>2</v>
      </c>
      <c r="N483">
        <v>-1.1468141359999999</v>
      </c>
    </row>
    <row r="484" spans="1:14" x14ac:dyDescent="0.3">
      <c r="A484" t="s">
        <v>145</v>
      </c>
      <c r="B484">
        <v>121</v>
      </c>
      <c r="C484" t="s">
        <v>20</v>
      </c>
      <c r="D484" t="s">
        <v>16</v>
      </c>
      <c r="E484">
        <v>2</v>
      </c>
      <c r="F484" t="s">
        <v>17</v>
      </c>
      <c r="G484">
        <v>2</v>
      </c>
      <c r="H484" t="s">
        <v>25</v>
      </c>
      <c r="I484">
        <v>0</v>
      </c>
      <c r="J484">
        <v>30.335696309999999</v>
      </c>
      <c r="L484">
        <v>0.32817654899999998</v>
      </c>
      <c r="M484">
        <v>3</v>
      </c>
      <c r="N484">
        <v>-0.51742048399999996</v>
      </c>
    </row>
    <row r="485" spans="1:14" x14ac:dyDescent="0.3">
      <c r="A485" t="s">
        <v>145</v>
      </c>
      <c r="B485">
        <v>121</v>
      </c>
      <c r="C485" t="s">
        <v>21</v>
      </c>
      <c r="D485" t="s">
        <v>16</v>
      </c>
      <c r="E485">
        <v>2</v>
      </c>
      <c r="F485" t="s">
        <v>17</v>
      </c>
      <c r="G485">
        <v>2</v>
      </c>
      <c r="H485" t="s">
        <v>25</v>
      </c>
      <c r="I485">
        <v>0</v>
      </c>
      <c r="J485">
        <v>30.335696309999999</v>
      </c>
      <c r="K485">
        <v>59.904725730000003</v>
      </c>
      <c r="L485">
        <v>0.52705764499999996</v>
      </c>
      <c r="M485">
        <v>4</v>
      </c>
      <c r="N485">
        <v>-0.36212377299999998</v>
      </c>
    </row>
    <row r="486" spans="1:14" x14ac:dyDescent="0.3">
      <c r="A486" t="s">
        <v>146</v>
      </c>
      <c r="B486">
        <v>122</v>
      </c>
      <c r="C486" t="s">
        <v>15</v>
      </c>
      <c r="D486" t="s">
        <v>23</v>
      </c>
      <c r="E486">
        <v>1</v>
      </c>
      <c r="F486" t="s">
        <v>24</v>
      </c>
      <c r="G486">
        <v>1</v>
      </c>
      <c r="H486" t="s">
        <v>18</v>
      </c>
      <c r="I486">
        <v>1</v>
      </c>
      <c r="J486">
        <v>39.726788229999997</v>
      </c>
      <c r="L486">
        <v>0.41751549399999999</v>
      </c>
      <c r="M486">
        <v>1</v>
      </c>
      <c r="N486">
        <v>2.3505543260000001</v>
      </c>
    </row>
    <row r="487" spans="1:14" x14ac:dyDescent="0.3">
      <c r="A487" t="s">
        <v>146</v>
      </c>
      <c r="B487">
        <v>122</v>
      </c>
      <c r="C487" t="s">
        <v>19</v>
      </c>
      <c r="D487" t="s">
        <v>23</v>
      </c>
      <c r="E487">
        <v>1</v>
      </c>
      <c r="F487" t="s">
        <v>24</v>
      </c>
      <c r="G487">
        <v>1</v>
      </c>
      <c r="H487" t="s">
        <v>18</v>
      </c>
      <c r="I487">
        <v>1</v>
      </c>
      <c r="J487">
        <v>39.726788229999997</v>
      </c>
      <c r="L487">
        <v>0.615312674</v>
      </c>
      <c r="M487">
        <v>2</v>
      </c>
      <c r="N487">
        <v>2.4465313759999998</v>
      </c>
    </row>
    <row r="488" spans="1:14" x14ac:dyDescent="0.3">
      <c r="A488" t="s">
        <v>146</v>
      </c>
      <c r="B488">
        <v>122</v>
      </c>
      <c r="C488" t="s">
        <v>20</v>
      </c>
      <c r="D488" t="s">
        <v>23</v>
      </c>
      <c r="E488">
        <v>1</v>
      </c>
      <c r="F488" t="s">
        <v>24</v>
      </c>
      <c r="G488">
        <v>1</v>
      </c>
      <c r="H488" t="s">
        <v>18</v>
      </c>
      <c r="I488">
        <v>1</v>
      </c>
      <c r="J488">
        <v>39.726788229999997</v>
      </c>
      <c r="K488">
        <v>49.761503670000003</v>
      </c>
      <c r="L488">
        <v>0.21495231300000001</v>
      </c>
      <c r="M488">
        <v>3</v>
      </c>
      <c r="N488">
        <v>-0.16670327900000001</v>
      </c>
    </row>
    <row r="489" spans="1:14" x14ac:dyDescent="0.3">
      <c r="A489" t="s">
        <v>146</v>
      </c>
      <c r="B489">
        <v>122</v>
      </c>
      <c r="C489" t="s">
        <v>21</v>
      </c>
      <c r="D489" t="s">
        <v>23</v>
      </c>
      <c r="E489">
        <v>1</v>
      </c>
      <c r="F489" t="s">
        <v>24</v>
      </c>
      <c r="G489">
        <v>1</v>
      </c>
      <c r="H489" t="s">
        <v>18</v>
      </c>
      <c r="I489">
        <v>1</v>
      </c>
      <c r="J489">
        <v>39.726788229999997</v>
      </c>
      <c r="L489">
        <v>0.79301231299999997</v>
      </c>
      <c r="M489">
        <v>4</v>
      </c>
      <c r="N489">
        <v>-1.043667439</v>
      </c>
    </row>
    <row r="490" spans="1:14" x14ac:dyDescent="0.3">
      <c r="A490" t="s">
        <v>147</v>
      </c>
      <c r="B490">
        <v>123</v>
      </c>
      <c r="C490" t="s">
        <v>15</v>
      </c>
      <c r="D490" t="s">
        <v>23</v>
      </c>
      <c r="E490">
        <v>1</v>
      </c>
      <c r="F490" t="s">
        <v>33</v>
      </c>
      <c r="G490">
        <v>3</v>
      </c>
      <c r="H490" t="s">
        <v>18</v>
      </c>
      <c r="I490">
        <v>1</v>
      </c>
      <c r="J490">
        <v>38.452446070000001</v>
      </c>
      <c r="K490">
        <v>47.219851149999997</v>
      </c>
      <c r="L490">
        <v>0.46611594099999998</v>
      </c>
      <c r="M490">
        <v>1</v>
      </c>
      <c r="N490">
        <v>-1.972934934</v>
      </c>
    </row>
    <row r="491" spans="1:14" x14ac:dyDescent="0.3">
      <c r="A491" t="s">
        <v>147</v>
      </c>
      <c r="B491">
        <v>123</v>
      </c>
      <c r="C491" t="s">
        <v>19</v>
      </c>
      <c r="D491" t="s">
        <v>23</v>
      </c>
      <c r="E491">
        <v>1</v>
      </c>
      <c r="F491" t="s">
        <v>33</v>
      </c>
      <c r="G491">
        <v>3</v>
      </c>
      <c r="H491" t="s">
        <v>18</v>
      </c>
      <c r="I491">
        <v>1</v>
      </c>
      <c r="J491">
        <v>38.452446070000001</v>
      </c>
      <c r="K491">
        <v>40.345250049999997</v>
      </c>
      <c r="L491">
        <v>0.81961872000000002</v>
      </c>
      <c r="M491">
        <v>2</v>
      </c>
      <c r="N491">
        <v>0.51467163299999996</v>
      </c>
    </row>
    <row r="492" spans="1:14" x14ac:dyDescent="0.3">
      <c r="A492" t="s">
        <v>147</v>
      </c>
      <c r="B492">
        <v>123</v>
      </c>
      <c r="C492" t="s">
        <v>20</v>
      </c>
      <c r="D492" t="s">
        <v>23</v>
      </c>
      <c r="E492">
        <v>1</v>
      </c>
      <c r="F492" t="s">
        <v>33</v>
      </c>
      <c r="G492">
        <v>3</v>
      </c>
      <c r="H492" t="s">
        <v>18</v>
      </c>
      <c r="I492">
        <v>1</v>
      </c>
      <c r="J492">
        <v>38.452446070000001</v>
      </c>
      <c r="K492">
        <v>48.297927829999999</v>
      </c>
      <c r="L492">
        <v>0.72374181900000001</v>
      </c>
      <c r="M492">
        <v>3</v>
      </c>
      <c r="N492">
        <v>-1.0905735839999999</v>
      </c>
    </row>
    <row r="493" spans="1:14" x14ac:dyDescent="0.3">
      <c r="A493" t="s">
        <v>147</v>
      </c>
      <c r="B493">
        <v>123</v>
      </c>
      <c r="C493" t="s">
        <v>21</v>
      </c>
      <c r="D493" t="s">
        <v>23</v>
      </c>
      <c r="E493">
        <v>1</v>
      </c>
      <c r="F493" t="s">
        <v>33</v>
      </c>
      <c r="G493">
        <v>3</v>
      </c>
      <c r="H493" t="s">
        <v>18</v>
      </c>
      <c r="I493">
        <v>1</v>
      </c>
      <c r="J493">
        <v>38.452446070000001</v>
      </c>
      <c r="L493">
        <v>0.75243739799999998</v>
      </c>
      <c r="M493">
        <v>4</v>
      </c>
      <c r="N493">
        <v>2.2846593259999999</v>
      </c>
    </row>
    <row r="494" spans="1:14" x14ac:dyDescent="0.3">
      <c r="A494" t="s">
        <v>148</v>
      </c>
      <c r="B494">
        <v>124</v>
      </c>
      <c r="C494" t="s">
        <v>15</v>
      </c>
      <c r="D494" t="s">
        <v>16</v>
      </c>
      <c r="E494">
        <v>2</v>
      </c>
      <c r="F494" t="s">
        <v>24</v>
      </c>
      <c r="G494">
        <v>1</v>
      </c>
      <c r="H494" t="s">
        <v>18</v>
      </c>
      <c r="I494">
        <v>1</v>
      </c>
      <c r="J494">
        <v>60.239006639999999</v>
      </c>
      <c r="L494">
        <v>0.89759723300000005</v>
      </c>
      <c r="M494">
        <v>1</v>
      </c>
      <c r="N494">
        <v>-0.88561757299999999</v>
      </c>
    </row>
    <row r="495" spans="1:14" x14ac:dyDescent="0.3">
      <c r="A495" t="s">
        <v>148</v>
      </c>
      <c r="B495">
        <v>124</v>
      </c>
      <c r="C495" t="s">
        <v>19</v>
      </c>
      <c r="D495" t="s">
        <v>16</v>
      </c>
      <c r="E495">
        <v>2</v>
      </c>
      <c r="F495" t="s">
        <v>24</v>
      </c>
      <c r="G495">
        <v>1</v>
      </c>
      <c r="H495" t="s">
        <v>18</v>
      </c>
      <c r="I495">
        <v>1</v>
      </c>
      <c r="J495">
        <v>60.239006639999999</v>
      </c>
      <c r="K495">
        <v>44.396339560000001</v>
      </c>
      <c r="L495">
        <v>0.57183976199999997</v>
      </c>
      <c r="M495">
        <v>2</v>
      </c>
      <c r="N495">
        <v>0.11110643000000001</v>
      </c>
    </row>
    <row r="496" spans="1:14" x14ac:dyDescent="0.3">
      <c r="A496" t="s">
        <v>148</v>
      </c>
      <c r="B496">
        <v>124</v>
      </c>
      <c r="C496" t="s">
        <v>20</v>
      </c>
      <c r="D496" t="s">
        <v>16</v>
      </c>
      <c r="E496">
        <v>2</v>
      </c>
      <c r="F496" t="s">
        <v>24</v>
      </c>
      <c r="G496">
        <v>1</v>
      </c>
      <c r="H496" t="s">
        <v>18</v>
      </c>
      <c r="I496">
        <v>1</v>
      </c>
      <c r="J496">
        <v>60.239006639999999</v>
      </c>
      <c r="K496">
        <v>41.714211149999997</v>
      </c>
      <c r="L496">
        <v>0.47324332099999999</v>
      </c>
      <c r="M496">
        <v>3</v>
      </c>
      <c r="N496">
        <v>3.8102766809999999</v>
      </c>
    </row>
    <row r="497" spans="1:14" x14ac:dyDescent="0.3">
      <c r="A497" t="s">
        <v>148</v>
      </c>
      <c r="B497">
        <v>124</v>
      </c>
      <c r="C497" t="s">
        <v>21</v>
      </c>
      <c r="D497" t="s">
        <v>16</v>
      </c>
      <c r="E497">
        <v>2</v>
      </c>
      <c r="F497" t="s">
        <v>24</v>
      </c>
      <c r="G497">
        <v>1</v>
      </c>
      <c r="H497" t="s">
        <v>18</v>
      </c>
      <c r="I497">
        <v>1</v>
      </c>
      <c r="J497">
        <v>60.239006639999999</v>
      </c>
      <c r="K497">
        <v>47.375349610000001</v>
      </c>
      <c r="L497">
        <v>0.36479001700000002</v>
      </c>
      <c r="M497">
        <v>4</v>
      </c>
      <c r="N497">
        <v>-1.1089099979999999</v>
      </c>
    </row>
    <row r="498" spans="1:14" x14ac:dyDescent="0.3">
      <c r="A498" t="s">
        <v>149</v>
      </c>
      <c r="B498">
        <v>125</v>
      </c>
      <c r="C498" t="s">
        <v>15</v>
      </c>
      <c r="D498" t="s">
        <v>23</v>
      </c>
      <c r="E498">
        <v>1</v>
      </c>
      <c r="F498" t="s">
        <v>33</v>
      </c>
      <c r="G498">
        <v>3</v>
      </c>
      <c r="H498" t="s">
        <v>25</v>
      </c>
      <c r="I498">
        <v>0</v>
      </c>
      <c r="J498">
        <v>42.331105100000002</v>
      </c>
      <c r="K498">
        <v>42.037970090000002</v>
      </c>
      <c r="L498">
        <v>0.66530438599999997</v>
      </c>
      <c r="M498">
        <v>1</v>
      </c>
      <c r="N498">
        <v>0.30756662400000001</v>
      </c>
    </row>
    <row r="499" spans="1:14" x14ac:dyDescent="0.3">
      <c r="A499" t="s">
        <v>149</v>
      </c>
      <c r="B499">
        <v>125</v>
      </c>
      <c r="C499" t="s">
        <v>19</v>
      </c>
      <c r="D499" t="s">
        <v>23</v>
      </c>
      <c r="E499">
        <v>1</v>
      </c>
      <c r="F499" t="s">
        <v>33</v>
      </c>
      <c r="G499">
        <v>3</v>
      </c>
      <c r="H499" t="s">
        <v>25</v>
      </c>
      <c r="I499">
        <v>0</v>
      </c>
      <c r="J499">
        <v>42.331105100000002</v>
      </c>
      <c r="K499">
        <v>37.561002700000003</v>
      </c>
      <c r="L499">
        <v>0.70590329600000001</v>
      </c>
      <c r="M499">
        <v>2</v>
      </c>
      <c r="N499">
        <v>-1.106894472</v>
      </c>
    </row>
    <row r="500" spans="1:14" x14ac:dyDescent="0.3">
      <c r="A500" t="s">
        <v>149</v>
      </c>
      <c r="B500">
        <v>125</v>
      </c>
      <c r="C500" t="s">
        <v>20</v>
      </c>
      <c r="D500" t="s">
        <v>23</v>
      </c>
      <c r="E500">
        <v>1</v>
      </c>
      <c r="F500" t="s">
        <v>33</v>
      </c>
      <c r="G500">
        <v>3</v>
      </c>
      <c r="H500" t="s">
        <v>25</v>
      </c>
      <c r="I500">
        <v>0</v>
      </c>
      <c r="J500">
        <v>42.331105100000002</v>
      </c>
      <c r="K500">
        <v>45.117927569999999</v>
      </c>
      <c r="L500">
        <v>0.71938666900000003</v>
      </c>
      <c r="M500">
        <v>3</v>
      </c>
      <c r="N500">
        <v>0.34765364900000001</v>
      </c>
    </row>
    <row r="501" spans="1:14" x14ac:dyDescent="0.3">
      <c r="A501" t="s">
        <v>149</v>
      </c>
      <c r="B501">
        <v>125</v>
      </c>
      <c r="C501" t="s">
        <v>21</v>
      </c>
      <c r="D501" t="s">
        <v>23</v>
      </c>
      <c r="E501">
        <v>1</v>
      </c>
      <c r="F501" t="s">
        <v>33</v>
      </c>
      <c r="G501">
        <v>3</v>
      </c>
      <c r="H501" t="s">
        <v>25</v>
      </c>
      <c r="I501">
        <v>0</v>
      </c>
      <c r="J501">
        <v>42.331105100000002</v>
      </c>
      <c r="L501">
        <v>0.797009776</v>
      </c>
      <c r="M501">
        <v>4</v>
      </c>
      <c r="N501">
        <v>-0.87326453500000001</v>
      </c>
    </row>
    <row r="502" spans="1:14" x14ac:dyDescent="0.3">
      <c r="A502" t="s">
        <v>150</v>
      </c>
      <c r="B502">
        <v>126</v>
      </c>
      <c r="C502" t="s">
        <v>15</v>
      </c>
      <c r="D502" t="s">
        <v>16</v>
      </c>
      <c r="E502">
        <v>2</v>
      </c>
      <c r="F502" t="s">
        <v>24</v>
      </c>
      <c r="G502">
        <v>1</v>
      </c>
      <c r="H502" t="s">
        <v>25</v>
      </c>
      <c r="I502">
        <v>0</v>
      </c>
      <c r="J502">
        <v>35.582185150000001</v>
      </c>
      <c r="K502">
        <v>34.625295639999997</v>
      </c>
      <c r="L502">
        <v>0.267481044</v>
      </c>
      <c r="M502">
        <v>1</v>
      </c>
      <c r="N502">
        <v>7.7303123000000001E-2</v>
      </c>
    </row>
    <row r="503" spans="1:14" x14ac:dyDescent="0.3">
      <c r="A503" t="s">
        <v>150</v>
      </c>
      <c r="B503">
        <v>126</v>
      </c>
      <c r="C503" t="s">
        <v>19</v>
      </c>
      <c r="D503" t="s">
        <v>16</v>
      </c>
      <c r="E503">
        <v>2</v>
      </c>
      <c r="F503" t="s">
        <v>24</v>
      </c>
      <c r="G503">
        <v>1</v>
      </c>
      <c r="H503" t="s">
        <v>25</v>
      </c>
      <c r="I503">
        <v>0</v>
      </c>
      <c r="J503">
        <v>35.582185150000001</v>
      </c>
      <c r="K503">
        <v>45.282062639999999</v>
      </c>
      <c r="L503">
        <v>0.71299058199999998</v>
      </c>
      <c r="M503">
        <v>2</v>
      </c>
      <c r="N503">
        <v>-0.29686864200000002</v>
      </c>
    </row>
    <row r="504" spans="1:14" x14ac:dyDescent="0.3">
      <c r="A504" t="s">
        <v>150</v>
      </c>
      <c r="B504">
        <v>126</v>
      </c>
      <c r="C504" t="s">
        <v>20</v>
      </c>
      <c r="D504" t="s">
        <v>16</v>
      </c>
      <c r="E504">
        <v>2</v>
      </c>
      <c r="F504" t="s">
        <v>24</v>
      </c>
      <c r="G504">
        <v>1</v>
      </c>
      <c r="H504" t="s">
        <v>25</v>
      </c>
      <c r="I504">
        <v>0</v>
      </c>
      <c r="J504">
        <v>35.582185150000001</v>
      </c>
      <c r="L504">
        <v>0.77329244900000005</v>
      </c>
      <c r="M504">
        <v>3</v>
      </c>
      <c r="N504">
        <v>-1.18324224</v>
      </c>
    </row>
    <row r="505" spans="1:14" x14ac:dyDescent="0.3">
      <c r="A505" t="s">
        <v>150</v>
      </c>
      <c r="B505">
        <v>126</v>
      </c>
      <c r="C505" t="s">
        <v>21</v>
      </c>
      <c r="D505" t="s">
        <v>16</v>
      </c>
      <c r="E505">
        <v>2</v>
      </c>
      <c r="F505" t="s">
        <v>24</v>
      </c>
      <c r="G505">
        <v>1</v>
      </c>
      <c r="H505" t="s">
        <v>25</v>
      </c>
      <c r="I505">
        <v>0</v>
      </c>
      <c r="J505">
        <v>35.582185150000001</v>
      </c>
      <c r="K505">
        <v>63.577605470000002</v>
      </c>
      <c r="L505">
        <v>0.84730103400000001</v>
      </c>
      <c r="M505">
        <v>4</v>
      </c>
      <c r="N505">
        <v>1.1292688E-2</v>
      </c>
    </row>
    <row r="506" spans="1:14" x14ac:dyDescent="0.3">
      <c r="A506" t="s">
        <v>151</v>
      </c>
      <c r="B506">
        <v>127</v>
      </c>
      <c r="C506" t="s">
        <v>15</v>
      </c>
      <c r="D506" t="s">
        <v>16</v>
      </c>
      <c r="E506">
        <v>2</v>
      </c>
      <c r="F506" t="s">
        <v>17</v>
      </c>
      <c r="G506">
        <v>2</v>
      </c>
      <c r="H506" t="s">
        <v>18</v>
      </c>
      <c r="I506">
        <v>1</v>
      </c>
      <c r="J506">
        <v>43.567679830000003</v>
      </c>
      <c r="K506">
        <v>35.808780259999999</v>
      </c>
      <c r="L506">
        <v>0.64065910999999998</v>
      </c>
      <c r="M506">
        <v>1</v>
      </c>
      <c r="N506">
        <v>0.99160103600000005</v>
      </c>
    </row>
    <row r="507" spans="1:14" x14ac:dyDescent="0.3">
      <c r="A507" t="s">
        <v>151</v>
      </c>
      <c r="B507">
        <v>127</v>
      </c>
      <c r="C507" t="s">
        <v>19</v>
      </c>
      <c r="D507" t="s">
        <v>16</v>
      </c>
      <c r="E507">
        <v>2</v>
      </c>
      <c r="F507" t="s">
        <v>17</v>
      </c>
      <c r="G507">
        <v>2</v>
      </c>
      <c r="H507" t="s">
        <v>18</v>
      </c>
      <c r="I507">
        <v>1</v>
      </c>
      <c r="J507">
        <v>43.567679830000003</v>
      </c>
      <c r="L507">
        <v>0.78716680100000003</v>
      </c>
      <c r="M507">
        <v>2</v>
      </c>
      <c r="N507">
        <v>1.593967454</v>
      </c>
    </row>
    <row r="508" spans="1:14" x14ac:dyDescent="0.3">
      <c r="A508" t="s">
        <v>151</v>
      </c>
      <c r="B508">
        <v>127</v>
      </c>
      <c r="C508" t="s">
        <v>20</v>
      </c>
      <c r="D508" t="s">
        <v>16</v>
      </c>
      <c r="E508">
        <v>2</v>
      </c>
      <c r="F508" t="s">
        <v>17</v>
      </c>
      <c r="G508">
        <v>2</v>
      </c>
      <c r="H508" t="s">
        <v>18</v>
      </c>
      <c r="I508">
        <v>1</v>
      </c>
      <c r="J508">
        <v>43.567679830000003</v>
      </c>
      <c r="L508">
        <v>0.16060033600000001</v>
      </c>
      <c r="M508">
        <v>3</v>
      </c>
      <c r="N508">
        <v>-1.372711271</v>
      </c>
    </row>
    <row r="509" spans="1:14" x14ac:dyDescent="0.3">
      <c r="A509" t="s">
        <v>151</v>
      </c>
      <c r="B509">
        <v>127</v>
      </c>
      <c r="C509" t="s">
        <v>21</v>
      </c>
      <c r="D509" t="s">
        <v>16</v>
      </c>
      <c r="E509">
        <v>2</v>
      </c>
      <c r="F509" t="s">
        <v>17</v>
      </c>
      <c r="G509">
        <v>2</v>
      </c>
      <c r="H509" t="s">
        <v>18</v>
      </c>
      <c r="I509">
        <v>1</v>
      </c>
      <c r="J509">
        <v>43.567679830000003</v>
      </c>
      <c r="K509">
        <v>52.673135039999998</v>
      </c>
      <c r="L509">
        <v>0.60839796800000001</v>
      </c>
      <c r="M509">
        <v>4</v>
      </c>
      <c r="N509">
        <v>-0.24961093300000001</v>
      </c>
    </row>
    <row r="510" spans="1:14" x14ac:dyDescent="0.3">
      <c r="A510" t="s">
        <v>152</v>
      </c>
      <c r="B510">
        <v>128</v>
      </c>
      <c r="C510" t="s">
        <v>15</v>
      </c>
      <c r="D510" t="s">
        <v>16</v>
      </c>
      <c r="E510">
        <v>2</v>
      </c>
      <c r="F510" t="s">
        <v>24</v>
      </c>
      <c r="G510">
        <v>1</v>
      </c>
      <c r="H510" t="s">
        <v>18</v>
      </c>
      <c r="I510">
        <v>1</v>
      </c>
      <c r="J510">
        <v>46.259935040000002</v>
      </c>
      <c r="K510">
        <v>35.887340129999998</v>
      </c>
      <c r="L510">
        <v>0.416309863</v>
      </c>
      <c r="M510">
        <v>1</v>
      </c>
      <c r="N510">
        <v>1.1594245270000001</v>
      </c>
    </row>
    <row r="511" spans="1:14" x14ac:dyDescent="0.3">
      <c r="A511" t="s">
        <v>152</v>
      </c>
      <c r="B511">
        <v>128</v>
      </c>
      <c r="C511" t="s">
        <v>19</v>
      </c>
      <c r="D511" t="s">
        <v>16</v>
      </c>
      <c r="E511">
        <v>2</v>
      </c>
      <c r="F511" t="s">
        <v>24</v>
      </c>
      <c r="G511">
        <v>1</v>
      </c>
      <c r="H511" t="s">
        <v>18</v>
      </c>
      <c r="I511">
        <v>1</v>
      </c>
      <c r="J511">
        <v>46.259935040000002</v>
      </c>
      <c r="K511">
        <v>38.732221709999997</v>
      </c>
      <c r="L511">
        <v>0.69818164599999999</v>
      </c>
      <c r="M511">
        <v>2</v>
      </c>
      <c r="N511">
        <v>-1.114222348</v>
      </c>
    </row>
    <row r="512" spans="1:14" x14ac:dyDescent="0.3">
      <c r="A512" t="s">
        <v>152</v>
      </c>
      <c r="B512">
        <v>128</v>
      </c>
      <c r="C512" t="s">
        <v>20</v>
      </c>
      <c r="D512" t="s">
        <v>16</v>
      </c>
      <c r="E512">
        <v>2</v>
      </c>
      <c r="F512" t="s">
        <v>24</v>
      </c>
      <c r="G512">
        <v>1</v>
      </c>
      <c r="H512" t="s">
        <v>18</v>
      </c>
      <c r="I512">
        <v>1</v>
      </c>
      <c r="J512">
        <v>46.259935040000002</v>
      </c>
      <c r="K512">
        <v>46.70361295</v>
      </c>
      <c r="L512">
        <v>0.69159076900000005</v>
      </c>
      <c r="M512">
        <v>3</v>
      </c>
      <c r="N512">
        <v>-2.5285006889999999</v>
      </c>
    </row>
    <row r="513" spans="1:14" x14ac:dyDescent="0.3">
      <c r="A513" t="s">
        <v>152</v>
      </c>
      <c r="B513">
        <v>128</v>
      </c>
      <c r="C513" t="s">
        <v>21</v>
      </c>
      <c r="D513" t="s">
        <v>16</v>
      </c>
      <c r="E513">
        <v>2</v>
      </c>
      <c r="F513" t="s">
        <v>24</v>
      </c>
      <c r="G513">
        <v>1</v>
      </c>
      <c r="H513" t="s">
        <v>18</v>
      </c>
      <c r="I513">
        <v>1</v>
      </c>
      <c r="J513">
        <v>46.259935040000002</v>
      </c>
      <c r="K513">
        <v>53.653978530000003</v>
      </c>
      <c r="L513">
        <v>0.39737255599999999</v>
      </c>
      <c r="M513">
        <v>4</v>
      </c>
      <c r="N513">
        <v>-0.93590255899999997</v>
      </c>
    </row>
    <row r="514" spans="1:14" x14ac:dyDescent="0.3">
      <c r="A514" t="s">
        <v>153</v>
      </c>
      <c r="B514">
        <v>129</v>
      </c>
      <c r="C514" t="s">
        <v>15</v>
      </c>
      <c r="D514" t="s">
        <v>16</v>
      </c>
      <c r="E514">
        <v>2</v>
      </c>
      <c r="F514" t="s">
        <v>33</v>
      </c>
      <c r="G514">
        <v>3</v>
      </c>
      <c r="H514" t="s">
        <v>25</v>
      </c>
      <c r="I514">
        <v>0</v>
      </c>
      <c r="J514">
        <v>29.291190589999999</v>
      </c>
      <c r="K514">
        <v>36.715434000000002</v>
      </c>
      <c r="L514">
        <v>0.37125060100000001</v>
      </c>
      <c r="M514">
        <v>1</v>
      </c>
      <c r="N514">
        <v>-0.967239458</v>
      </c>
    </row>
    <row r="515" spans="1:14" x14ac:dyDescent="0.3">
      <c r="A515" t="s">
        <v>153</v>
      </c>
      <c r="B515">
        <v>129</v>
      </c>
      <c r="C515" t="s">
        <v>19</v>
      </c>
      <c r="D515" t="s">
        <v>16</v>
      </c>
      <c r="E515">
        <v>2</v>
      </c>
      <c r="F515" t="s">
        <v>33</v>
      </c>
      <c r="G515">
        <v>3</v>
      </c>
      <c r="H515" t="s">
        <v>25</v>
      </c>
      <c r="I515">
        <v>0</v>
      </c>
      <c r="J515">
        <v>29.291190589999999</v>
      </c>
      <c r="L515">
        <v>0.63824267899999998</v>
      </c>
      <c r="M515">
        <v>2</v>
      </c>
      <c r="N515">
        <v>4.7488592000000003E-2</v>
      </c>
    </row>
    <row r="516" spans="1:14" x14ac:dyDescent="0.3">
      <c r="A516" t="s">
        <v>153</v>
      </c>
      <c r="B516">
        <v>129</v>
      </c>
      <c r="C516" t="s">
        <v>20</v>
      </c>
      <c r="D516" t="s">
        <v>16</v>
      </c>
      <c r="E516">
        <v>2</v>
      </c>
      <c r="F516" t="s">
        <v>33</v>
      </c>
      <c r="G516">
        <v>3</v>
      </c>
      <c r="H516" t="s">
        <v>25</v>
      </c>
      <c r="I516">
        <v>0</v>
      </c>
      <c r="J516">
        <v>29.291190589999999</v>
      </c>
      <c r="L516">
        <v>0.358328329</v>
      </c>
      <c r="M516">
        <v>3</v>
      </c>
      <c r="N516">
        <v>-0.40373679299999998</v>
      </c>
    </row>
    <row r="517" spans="1:14" x14ac:dyDescent="0.3">
      <c r="A517" t="s">
        <v>153</v>
      </c>
      <c r="B517">
        <v>129</v>
      </c>
      <c r="C517" t="s">
        <v>21</v>
      </c>
      <c r="D517" t="s">
        <v>16</v>
      </c>
      <c r="E517">
        <v>2</v>
      </c>
      <c r="F517" t="s">
        <v>33</v>
      </c>
      <c r="G517">
        <v>3</v>
      </c>
      <c r="H517" t="s">
        <v>25</v>
      </c>
      <c r="I517">
        <v>0</v>
      </c>
      <c r="J517">
        <v>29.291190589999999</v>
      </c>
      <c r="L517">
        <v>0.64728937200000003</v>
      </c>
      <c r="M517">
        <v>4</v>
      </c>
      <c r="N517">
        <v>0.231496128</v>
      </c>
    </row>
    <row r="518" spans="1:14" x14ac:dyDescent="0.3">
      <c r="A518" t="s">
        <v>154</v>
      </c>
      <c r="B518">
        <v>130</v>
      </c>
      <c r="C518" t="s">
        <v>15</v>
      </c>
      <c r="D518" t="s">
        <v>23</v>
      </c>
      <c r="E518">
        <v>1</v>
      </c>
      <c r="F518" t="s">
        <v>33</v>
      </c>
      <c r="G518">
        <v>3</v>
      </c>
      <c r="H518" t="s">
        <v>25</v>
      </c>
      <c r="I518">
        <v>0</v>
      </c>
      <c r="J518">
        <v>51.717294780000003</v>
      </c>
      <c r="L518">
        <v>0.27122907099999999</v>
      </c>
      <c r="M518">
        <v>1</v>
      </c>
      <c r="N518">
        <v>-0.42237240799999998</v>
      </c>
    </row>
    <row r="519" spans="1:14" x14ac:dyDescent="0.3">
      <c r="A519" t="s">
        <v>154</v>
      </c>
      <c r="B519">
        <v>130</v>
      </c>
      <c r="C519" t="s">
        <v>19</v>
      </c>
      <c r="D519" t="s">
        <v>23</v>
      </c>
      <c r="E519">
        <v>1</v>
      </c>
      <c r="F519" t="s">
        <v>33</v>
      </c>
      <c r="G519">
        <v>3</v>
      </c>
      <c r="H519" t="s">
        <v>25</v>
      </c>
      <c r="I519">
        <v>0</v>
      </c>
      <c r="J519">
        <v>51.717294780000003</v>
      </c>
      <c r="K519">
        <v>41.543170230000001</v>
      </c>
      <c r="L519">
        <v>0.29717160199999998</v>
      </c>
      <c r="M519">
        <v>2</v>
      </c>
      <c r="N519">
        <v>0.37411839499999999</v>
      </c>
    </row>
    <row r="520" spans="1:14" x14ac:dyDescent="0.3">
      <c r="A520" t="s">
        <v>154</v>
      </c>
      <c r="B520">
        <v>130</v>
      </c>
      <c r="C520" t="s">
        <v>20</v>
      </c>
      <c r="D520" t="s">
        <v>23</v>
      </c>
      <c r="E520">
        <v>1</v>
      </c>
      <c r="F520" t="s">
        <v>33</v>
      </c>
      <c r="G520">
        <v>3</v>
      </c>
      <c r="H520" t="s">
        <v>25</v>
      </c>
      <c r="I520">
        <v>0</v>
      </c>
      <c r="J520">
        <v>51.717294780000003</v>
      </c>
      <c r="K520">
        <v>51.679090850000001</v>
      </c>
      <c r="L520">
        <v>0.198657632</v>
      </c>
      <c r="M520">
        <v>3</v>
      </c>
      <c r="N520">
        <v>-0.36600577499999998</v>
      </c>
    </row>
    <row r="521" spans="1:14" x14ac:dyDescent="0.3">
      <c r="A521" t="s">
        <v>154</v>
      </c>
      <c r="B521">
        <v>130</v>
      </c>
      <c r="C521" t="s">
        <v>21</v>
      </c>
      <c r="D521" t="s">
        <v>23</v>
      </c>
      <c r="E521">
        <v>1</v>
      </c>
      <c r="F521" t="s">
        <v>33</v>
      </c>
      <c r="G521">
        <v>3</v>
      </c>
      <c r="H521" t="s">
        <v>25</v>
      </c>
      <c r="I521">
        <v>0</v>
      </c>
      <c r="J521">
        <v>51.717294780000003</v>
      </c>
      <c r="L521">
        <v>0.72830974800000003</v>
      </c>
      <c r="M521">
        <v>4</v>
      </c>
      <c r="N521">
        <v>1.190101447</v>
      </c>
    </row>
    <row r="522" spans="1:14" x14ac:dyDescent="0.3">
      <c r="A522" t="s">
        <v>155</v>
      </c>
      <c r="B522">
        <v>131</v>
      </c>
      <c r="C522" t="s">
        <v>15</v>
      </c>
      <c r="D522" t="s">
        <v>23</v>
      </c>
      <c r="E522">
        <v>1</v>
      </c>
      <c r="F522" t="s">
        <v>24</v>
      </c>
      <c r="G522">
        <v>1</v>
      </c>
      <c r="H522" t="s">
        <v>18</v>
      </c>
      <c r="I522">
        <v>1</v>
      </c>
      <c r="J522">
        <v>35.719789660000004</v>
      </c>
      <c r="K522">
        <v>27.401304419999999</v>
      </c>
      <c r="L522">
        <v>0.709139038</v>
      </c>
      <c r="M522">
        <v>1</v>
      </c>
      <c r="N522">
        <v>-0.73732752499999998</v>
      </c>
    </row>
    <row r="523" spans="1:14" x14ac:dyDescent="0.3">
      <c r="A523" t="s">
        <v>155</v>
      </c>
      <c r="B523">
        <v>131</v>
      </c>
      <c r="C523" t="s">
        <v>19</v>
      </c>
      <c r="D523" t="s">
        <v>23</v>
      </c>
      <c r="E523">
        <v>1</v>
      </c>
      <c r="F523" t="s">
        <v>24</v>
      </c>
      <c r="G523">
        <v>1</v>
      </c>
      <c r="H523" t="s">
        <v>18</v>
      </c>
      <c r="I523">
        <v>1</v>
      </c>
      <c r="J523">
        <v>35.719789660000004</v>
      </c>
      <c r="K523">
        <v>30.335168670000002</v>
      </c>
      <c r="L523">
        <v>0.25695996399999999</v>
      </c>
      <c r="M523">
        <v>2</v>
      </c>
      <c r="N523">
        <v>0.290666645</v>
      </c>
    </row>
    <row r="524" spans="1:14" x14ac:dyDescent="0.3">
      <c r="A524" t="s">
        <v>155</v>
      </c>
      <c r="B524">
        <v>131</v>
      </c>
      <c r="C524" t="s">
        <v>20</v>
      </c>
      <c r="D524" t="s">
        <v>23</v>
      </c>
      <c r="E524">
        <v>1</v>
      </c>
      <c r="F524" t="s">
        <v>24</v>
      </c>
      <c r="G524">
        <v>1</v>
      </c>
      <c r="H524" t="s">
        <v>18</v>
      </c>
      <c r="I524">
        <v>1</v>
      </c>
      <c r="J524">
        <v>35.719789660000004</v>
      </c>
      <c r="K524">
        <v>37.730920939999997</v>
      </c>
      <c r="L524">
        <v>0.81802391399999996</v>
      </c>
      <c r="M524">
        <v>3</v>
      </c>
      <c r="N524">
        <v>-0.88484956800000003</v>
      </c>
    </row>
    <row r="525" spans="1:14" x14ac:dyDescent="0.3">
      <c r="A525" t="s">
        <v>155</v>
      </c>
      <c r="B525">
        <v>131</v>
      </c>
      <c r="C525" t="s">
        <v>21</v>
      </c>
      <c r="D525" t="s">
        <v>23</v>
      </c>
      <c r="E525">
        <v>1</v>
      </c>
      <c r="F525" t="s">
        <v>24</v>
      </c>
      <c r="G525">
        <v>1</v>
      </c>
      <c r="H525" t="s">
        <v>18</v>
      </c>
      <c r="I525">
        <v>1</v>
      </c>
      <c r="J525">
        <v>35.719789660000004</v>
      </c>
      <c r="K525">
        <v>29.11668251</v>
      </c>
      <c r="L525">
        <v>0.57632148400000005</v>
      </c>
      <c r="M525">
        <v>4</v>
      </c>
      <c r="N525">
        <v>0.20800647899999999</v>
      </c>
    </row>
    <row r="526" spans="1:14" x14ac:dyDescent="0.3">
      <c r="A526" t="s">
        <v>156</v>
      </c>
      <c r="B526">
        <v>132</v>
      </c>
      <c r="C526" t="s">
        <v>15</v>
      </c>
      <c r="D526" t="s">
        <v>23</v>
      </c>
      <c r="E526">
        <v>1</v>
      </c>
      <c r="F526" t="s">
        <v>24</v>
      </c>
      <c r="G526">
        <v>1</v>
      </c>
      <c r="H526" t="s">
        <v>25</v>
      </c>
      <c r="I526">
        <v>0</v>
      </c>
      <c r="J526">
        <v>50.537229889999999</v>
      </c>
      <c r="L526">
        <v>0.45446835600000002</v>
      </c>
      <c r="M526">
        <v>1</v>
      </c>
      <c r="N526">
        <v>-4.7730172000000001E-2</v>
      </c>
    </row>
    <row r="527" spans="1:14" x14ac:dyDescent="0.3">
      <c r="A527" t="s">
        <v>156</v>
      </c>
      <c r="B527">
        <v>132</v>
      </c>
      <c r="C527" t="s">
        <v>19</v>
      </c>
      <c r="D527" t="s">
        <v>23</v>
      </c>
      <c r="E527">
        <v>1</v>
      </c>
      <c r="F527" t="s">
        <v>24</v>
      </c>
      <c r="G527">
        <v>1</v>
      </c>
      <c r="H527" t="s">
        <v>25</v>
      </c>
      <c r="I527">
        <v>0</v>
      </c>
      <c r="J527">
        <v>50.537229889999999</v>
      </c>
      <c r="K527">
        <v>32.088295359999996</v>
      </c>
      <c r="L527">
        <v>0.33913623599999998</v>
      </c>
      <c r="M527">
        <v>2</v>
      </c>
      <c r="N527">
        <v>-1.684520646</v>
      </c>
    </row>
    <row r="528" spans="1:14" x14ac:dyDescent="0.3">
      <c r="A528" t="s">
        <v>156</v>
      </c>
      <c r="B528">
        <v>132</v>
      </c>
      <c r="C528" t="s">
        <v>20</v>
      </c>
      <c r="D528" t="s">
        <v>23</v>
      </c>
      <c r="E528">
        <v>1</v>
      </c>
      <c r="F528" t="s">
        <v>24</v>
      </c>
      <c r="G528">
        <v>1</v>
      </c>
      <c r="H528" t="s">
        <v>25</v>
      </c>
      <c r="I528">
        <v>0</v>
      </c>
      <c r="J528">
        <v>50.537229889999999</v>
      </c>
      <c r="K528">
        <v>41.660670400000001</v>
      </c>
      <c r="L528">
        <v>0.34261312500000002</v>
      </c>
      <c r="M528">
        <v>3</v>
      </c>
      <c r="N528">
        <v>-0.14422655700000001</v>
      </c>
    </row>
    <row r="529" spans="1:14" x14ac:dyDescent="0.3">
      <c r="A529" t="s">
        <v>156</v>
      </c>
      <c r="B529">
        <v>132</v>
      </c>
      <c r="C529" t="s">
        <v>21</v>
      </c>
      <c r="D529" t="s">
        <v>23</v>
      </c>
      <c r="E529">
        <v>1</v>
      </c>
      <c r="F529" t="s">
        <v>24</v>
      </c>
      <c r="G529">
        <v>1</v>
      </c>
      <c r="H529" t="s">
        <v>25</v>
      </c>
      <c r="I529">
        <v>0</v>
      </c>
      <c r="J529">
        <v>50.537229889999999</v>
      </c>
      <c r="K529">
        <v>53.908153329999998</v>
      </c>
      <c r="L529">
        <v>0.55897856499999998</v>
      </c>
      <c r="M529">
        <v>4</v>
      </c>
      <c r="N529">
        <v>1.180213666</v>
      </c>
    </row>
    <row r="530" spans="1:14" x14ac:dyDescent="0.3">
      <c r="A530" t="s">
        <v>157</v>
      </c>
      <c r="B530">
        <v>133</v>
      </c>
      <c r="C530" t="s">
        <v>15</v>
      </c>
      <c r="D530" t="s">
        <v>23</v>
      </c>
      <c r="E530">
        <v>1</v>
      </c>
      <c r="F530" t="s">
        <v>33</v>
      </c>
      <c r="G530">
        <v>3</v>
      </c>
      <c r="H530" t="s">
        <v>25</v>
      </c>
      <c r="I530">
        <v>0</v>
      </c>
      <c r="J530">
        <v>44.39943143</v>
      </c>
      <c r="L530">
        <v>0.84475866899999996</v>
      </c>
      <c r="M530">
        <v>1</v>
      </c>
      <c r="N530">
        <v>0.68139992299999996</v>
      </c>
    </row>
    <row r="531" spans="1:14" x14ac:dyDescent="0.3">
      <c r="A531" t="s">
        <v>157</v>
      </c>
      <c r="B531">
        <v>133</v>
      </c>
      <c r="C531" t="s">
        <v>19</v>
      </c>
      <c r="D531" t="s">
        <v>23</v>
      </c>
      <c r="E531">
        <v>1</v>
      </c>
      <c r="F531" t="s">
        <v>33</v>
      </c>
      <c r="G531">
        <v>3</v>
      </c>
      <c r="H531" t="s">
        <v>25</v>
      </c>
      <c r="I531">
        <v>0</v>
      </c>
      <c r="J531">
        <v>44.39943143</v>
      </c>
      <c r="K531">
        <v>35.06937121</v>
      </c>
      <c r="L531">
        <v>0.74763954899999996</v>
      </c>
      <c r="M531">
        <v>2</v>
      </c>
      <c r="N531">
        <v>0.14324763099999999</v>
      </c>
    </row>
    <row r="532" spans="1:14" x14ac:dyDescent="0.3">
      <c r="A532" t="s">
        <v>157</v>
      </c>
      <c r="B532">
        <v>133</v>
      </c>
      <c r="C532" t="s">
        <v>20</v>
      </c>
      <c r="D532" t="s">
        <v>23</v>
      </c>
      <c r="E532">
        <v>1</v>
      </c>
      <c r="F532" t="s">
        <v>33</v>
      </c>
      <c r="G532">
        <v>3</v>
      </c>
      <c r="H532" t="s">
        <v>25</v>
      </c>
      <c r="I532">
        <v>0</v>
      </c>
      <c r="J532">
        <v>44.39943143</v>
      </c>
      <c r="K532">
        <v>47.176146959999997</v>
      </c>
      <c r="L532">
        <v>0.44833684699999998</v>
      </c>
      <c r="M532">
        <v>3</v>
      </c>
      <c r="N532">
        <v>-1.192316444</v>
      </c>
    </row>
    <row r="533" spans="1:14" x14ac:dyDescent="0.3">
      <c r="A533" t="s">
        <v>157</v>
      </c>
      <c r="B533">
        <v>133</v>
      </c>
      <c r="C533" t="s">
        <v>21</v>
      </c>
      <c r="D533" t="s">
        <v>23</v>
      </c>
      <c r="E533">
        <v>1</v>
      </c>
      <c r="F533" t="s">
        <v>33</v>
      </c>
      <c r="G533">
        <v>3</v>
      </c>
      <c r="H533" t="s">
        <v>25</v>
      </c>
      <c r="I533">
        <v>0</v>
      </c>
      <c r="J533">
        <v>44.39943143</v>
      </c>
      <c r="K533">
        <v>56.493471759999998</v>
      </c>
      <c r="L533">
        <v>0.38481462</v>
      </c>
      <c r="M533">
        <v>4</v>
      </c>
      <c r="N533">
        <v>1.169228653</v>
      </c>
    </row>
    <row r="534" spans="1:14" x14ac:dyDescent="0.3">
      <c r="A534" t="s">
        <v>158</v>
      </c>
      <c r="B534">
        <v>134</v>
      </c>
      <c r="C534" t="s">
        <v>15</v>
      </c>
      <c r="D534" t="s">
        <v>23</v>
      </c>
      <c r="E534">
        <v>1</v>
      </c>
      <c r="F534" t="s">
        <v>17</v>
      </c>
      <c r="G534">
        <v>2</v>
      </c>
      <c r="H534" t="s">
        <v>25</v>
      </c>
      <c r="I534">
        <v>0</v>
      </c>
      <c r="J534">
        <v>41.733073339999997</v>
      </c>
      <c r="L534">
        <v>0.51330778600000004</v>
      </c>
      <c r="M534">
        <v>1</v>
      </c>
      <c r="N534">
        <v>7.9201708999999995E-2</v>
      </c>
    </row>
    <row r="535" spans="1:14" x14ac:dyDescent="0.3">
      <c r="A535" t="s">
        <v>158</v>
      </c>
      <c r="B535">
        <v>134</v>
      </c>
      <c r="C535" t="s">
        <v>19</v>
      </c>
      <c r="D535" t="s">
        <v>23</v>
      </c>
      <c r="E535">
        <v>1</v>
      </c>
      <c r="F535" t="s">
        <v>17</v>
      </c>
      <c r="G535">
        <v>2</v>
      </c>
      <c r="H535" t="s">
        <v>25</v>
      </c>
      <c r="I535">
        <v>0</v>
      </c>
      <c r="J535">
        <v>41.733073339999997</v>
      </c>
      <c r="K535">
        <v>38.880060229999998</v>
      </c>
      <c r="L535">
        <v>0.62182748200000004</v>
      </c>
      <c r="M535">
        <v>2</v>
      </c>
      <c r="N535">
        <v>-0.451773753</v>
      </c>
    </row>
    <row r="536" spans="1:14" x14ac:dyDescent="0.3">
      <c r="A536" t="s">
        <v>158</v>
      </c>
      <c r="B536">
        <v>134</v>
      </c>
      <c r="C536" t="s">
        <v>20</v>
      </c>
      <c r="D536" t="s">
        <v>23</v>
      </c>
      <c r="E536">
        <v>1</v>
      </c>
      <c r="F536" t="s">
        <v>17</v>
      </c>
      <c r="G536">
        <v>2</v>
      </c>
      <c r="H536" t="s">
        <v>25</v>
      </c>
      <c r="I536">
        <v>0</v>
      </c>
      <c r="J536">
        <v>41.733073339999997</v>
      </c>
      <c r="K536">
        <v>47.540701179999999</v>
      </c>
      <c r="L536">
        <v>0.64837303300000004</v>
      </c>
      <c r="M536">
        <v>3</v>
      </c>
      <c r="N536">
        <v>1.6420282129999999</v>
      </c>
    </row>
    <row r="537" spans="1:14" x14ac:dyDescent="0.3">
      <c r="A537" t="s">
        <v>158</v>
      </c>
      <c r="B537">
        <v>134</v>
      </c>
      <c r="C537" t="s">
        <v>21</v>
      </c>
      <c r="D537" t="s">
        <v>23</v>
      </c>
      <c r="E537">
        <v>1</v>
      </c>
      <c r="F537" t="s">
        <v>17</v>
      </c>
      <c r="G537">
        <v>2</v>
      </c>
      <c r="H537" t="s">
        <v>25</v>
      </c>
      <c r="I537">
        <v>0</v>
      </c>
      <c r="J537">
        <v>41.733073339999997</v>
      </c>
      <c r="K537">
        <v>43.537049519999997</v>
      </c>
      <c r="L537">
        <v>0.758547835</v>
      </c>
      <c r="M537">
        <v>4</v>
      </c>
      <c r="N537">
        <v>-0.76959232200000005</v>
      </c>
    </row>
    <row r="538" spans="1:14" x14ac:dyDescent="0.3">
      <c r="A538" t="s">
        <v>159</v>
      </c>
      <c r="B538">
        <v>135</v>
      </c>
      <c r="C538" t="s">
        <v>15</v>
      </c>
      <c r="D538" t="s">
        <v>23</v>
      </c>
      <c r="E538">
        <v>1</v>
      </c>
      <c r="F538" t="s">
        <v>17</v>
      </c>
      <c r="G538">
        <v>2</v>
      </c>
      <c r="H538" t="s">
        <v>25</v>
      </c>
      <c r="I538">
        <v>0</v>
      </c>
      <c r="J538">
        <v>40.666683599999999</v>
      </c>
      <c r="K538">
        <v>31.820540019999999</v>
      </c>
      <c r="L538">
        <v>0.19517985400000001</v>
      </c>
      <c r="M538">
        <v>1</v>
      </c>
      <c r="N538">
        <v>0.30336096099999998</v>
      </c>
    </row>
    <row r="539" spans="1:14" x14ac:dyDescent="0.3">
      <c r="A539" t="s">
        <v>159</v>
      </c>
      <c r="B539">
        <v>135</v>
      </c>
      <c r="C539" t="s">
        <v>19</v>
      </c>
      <c r="D539" t="s">
        <v>23</v>
      </c>
      <c r="E539">
        <v>1</v>
      </c>
      <c r="F539" t="s">
        <v>17</v>
      </c>
      <c r="G539">
        <v>2</v>
      </c>
      <c r="H539" t="s">
        <v>25</v>
      </c>
      <c r="I539">
        <v>0</v>
      </c>
      <c r="J539">
        <v>40.666683599999999</v>
      </c>
      <c r="K539">
        <v>39.628156369999999</v>
      </c>
      <c r="L539">
        <v>0.83228636</v>
      </c>
      <c r="M539">
        <v>2</v>
      </c>
      <c r="N539">
        <v>1.2817374210000001</v>
      </c>
    </row>
    <row r="540" spans="1:14" x14ac:dyDescent="0.3">
      <c r="A540" t="s">
        <v>159</v>
      </c>
      <c r="B540">
        <v>135</v>
      </c>
      <c r="C540" t="s">
        <v>20</v>
      </c>
      <c r="D540" t="s">
        <v>23</v>
      </c>
      <c r="E540">
        <v>1</v>
      </c>
      <c r="F540" t="s">
        <v>17</v>
      </c>
      <c r="G540">
        <v>2</v>
      </c>
      <c r="H540" t="s">
        <v>25</v>
      </c>
      <c r="I540">
        <v>0</v>
      </c>
      <c r="J540">
        <v>40.666683599999999</v>
      </c>
      <c r="K540">
        <v>44.955431670000003</v>
      </c>
      <c r="L540">
        <v>0.30278527100000002</v>
      </c>
      <c r="M540">
        <v>3</v>
      </c>
      <c r="N540">
        <v>0.60222279499999998</v>
      </c>
    </row>
    <row r="541" spans="1:14" x14ac:dyDescent="0.3">
      <c r="A541" t="s">
        <v>159</v>
      </c>
      <c r="B541">
        <v>135</v>
      </c>
      <c r="C541" t="s">
        <v>21</v>
      </c>
      <c r="D541" t="s">
        <v>23</v>
      </c>
      <c r="E541">
        <v>1</v>
      </c>
      <c r="F541" t="s">
        <v>17</v>
      </c>
      <c r="G541">
        <v>2</v>
      </c>
      <c r="H541" t="s">
        <v>25</v>
      </c>
      <c r="I541">
        <v>0</v>
      </c>
      <c r="J541">
        <v>40.666683599999999</v>
      </c>
      <c r="K541">
        <v>21.115430799999999</v>
      </c>
      <c r="L541">
        <v>0.42489886500000001</v>
      </c>
      <c r="M541">
        <v>4</v>
      </c>
      <c r="N541">
        <v>-0.30702226500000002</v>
      </c>
    </row>
    <row r="542" spans="1:14" x14ac:dyDescent="0.3">
      <c r="A542" t="s">
        <v>160</v>
      </c>
      <c r="B542">
        <v>136</v>
      </c>
      <c r="C542" t="s">
        <v>15</v>
      </c>
      <c r="D542" t="s">
        <v>16</v>
      </c>
      <c r="E542">
        <v>2</v>
      </c>
      <c r="F542" t="s">
        <v>33</v>
      </c>
      <c r="G542">
        <v>3</v>
      </c>
      <c r="H542" t="s">
        <v>18</v>
      </c>
      <c r="I542">
        <v>1</v>
      </c>
      <c r="J542">
        <v>39.064785999999998</v>
      </c>
      <c r="K542">
        <v>34.746713870000001</v>
      </c>
      <c r="L542">
        <v>0.31026271500000002</v>
      </c>
      <c r="M542">
        <v>1</v>
      </c>
      <c r="N542">
        <v>-0.41841810299999999</v>
      </c>
    </row>
    <row r="543" spans="1:14" x14ac:dyDescent="0.3">
      <c r="A543" t="s">
        <v>160</v>
      </c>
      <c r="B543">
        <v>136</v>
      </c>
      <c r="C543" t="s">
        <v>19</v>
      </c>
      <c r="D543" t="s">
        <v>16</v>
      </c>
      <c r="E543">
        <v>2</v>
      </c>
      <c r="F543" t="s">
        <v>33</v>
      </c>
      <c r="G543">
        <v>3</v>
      </c>
      <c r="H543" t="s">
        <v>18</v>
      </c>
      <c r="I543">
        <v>1</v>
      </c>
      <c r="J543">
        <v>39.064785999999998</v>
      </c>
      <c r="L543">
        <v>0.35601405400000002</v>
      </c>
      <c r="M543">
        <v>2</v>
      </c>
      <c r="N543">
        <v>0.35513552999999998</v>
      </c>
    </row>
    <row r="544" spans="1:14" x14ac:dyDescent="0.3">
      <c r="A544" t="s">
        <v>160</v>
      </c>
      <c r="B544">
        <v>136</v>
      </c>
      <c r="C544" t="s">
        <v>20</v>
      </c>
      <c r="D544" t="s">
        <v>16</v>
      </c>
      <c r="E544">
        <v>2</v>
      </c>
      <c r="F544" t="s">
        <v>33</v>
      </c>
      <c r="G544">
        <v>3</v>
      </c>
      <c r="H544" t="s">
        <v>18</v>
      </c>
      <c r="I544">
        <v>1</v>
      </c>
      <c r="J544">
        <v>39.064785999999998</v>
      </c>
      <c r="L544">
        <v>0.29308088799999998</v>
      </c>
      <c r="M544">
        <v>3</v>
      </c>
      <c r="N544">
        <v>0.51348111500000004</v>
      </c>
    </row>
    <row r="545" spans="1:14" x14ac:dyDescent="0.3">
      <c r="A545" t="s">
        <v>160</v>
      </c>
      <c r="B545">
        <v>136</v>
      </c>
      <c r="C545" t="s">
        <v>21</v>
      </c>
      <c r="D545" t="s">
        <v>16</v>
      </c>
      <c r="E545">
        <v>2</v>
      </c>
      <c r="F545" t="s">
        <v>33</v>
      </c>
      <c r="G545">
        <v>3</v>
      </c>
      <c r="H545" t="s">
        <v>18</v>
      </c>
      <c r="I545">
        <v>1</v>
      </c>
      <c r="J545">
        <v>39.064785999999998</v>
      </c>
      <c r="K545">
        <v>56.692485429999998</v>
      </c>
      <c r="L545">
        <v>0.52995815700000004</v>
      </c>
      <c r="M545">
        <v>4</v>
      </c>
      <c r="N545">
        <v>1.86074E-2</v>
      </c>
    </row>
    <row r="546" spans="1:14" x14ac:dyDescent="0.3">
      <c r="A546" t="s">
        <v>161</v>
      </c>
      <c r="B546">
        <v>137</v>
      </c>
      <c r="C546" t="s">
        <v>15</v>
      </c>
      <c r="D546" t="s">
        <v>16</v>
      </c>
      <c r="E546">
        <v>2</v>
      </c>
      <c r="F546" t="s">
        <v>24</v>
      </c>
      <c r="G546">
        <v>1</v>
      </c>
      <c r="H546" t="s">
        <v>18</v>
      </c>
      <c r="I546">
        <v>1</v>
      </c>
      <c r="J546">
        <v>31.377644669999999</v>
      </c>
      <c r="K546">
        <v>22.731261450000002</v>
      </c>
      <c r="L546">
        <v>0.67438378600000004</v>
      </c>
      <c r="M546">
        <v>1</v>
      </c>
      <c r="N546">
        <v>1.3184489720000001</v>
      </c>
    </row>
    <row r="547" spans="1:14" x14ac:dyDescent="0.3">
      <c r="A547" t="s">
        <v>161</v>
      </c>
      <c r="B547">
        <v>137</v>
      </c>
      <c r="C547" t="s">
        <v>19</v>
      </c>
      <c r="D547" t="s">
        <v>16</v>
      </c>
      <c r="E547">
        <v>2</v>
      </c>
      <c r="F547" t="s">
        <v>24</v>
      </c>
      <c r="G547">
        <v>1</v>
      </c>
      <c r="H547" t="s">
        <v>18</v>
      </c>
      <c r="I547">
        <v>1</v>
      </c>
      <c r="J547">
        <v>31.377644669999999</v>
      </c>
      <c r="K547">
        <v>32.500754579999999</v>
      </c>
      <c r="L547">
        <v>0.53031398799999996</v>
      </c>
      <c r="M547">
        <v>2</v>
      </c>
      <c r="N547">
        <v>-6.5832000000000002E-2</v>
      </c>
    </row>
    <row r="548" spans="1:14" x14ac:dyDescent="0.3">
      <c r="A548" t="s">
        <v>161</v>
      </c>
      <c r="B548">
        <v>137</v>
      </c>
      <c r="C548" t="s">
        <v>20</v>
      </c>
      <c r="D548" t="s">
        <v>16</v>
      </c>
      <c r="E548">
        <v>2</v>
      </c>
      <c r="F548" t="s">
        <v>24</v>
      </c>
      <c r="G548">
        <v>1</v>
      </c>
      <c r="H548" t="s">
        <v>18</v>
      </c>
      <c r="I548">
        <v>1</v>
      </c>
      <c r="J548">
        <v>31.377644669999999</v>
      </c>
      <c r="K548">
        <v>42.372055199999998</v>
      </c>
      <c r="L548">
        <v>0.11383755800000001</v>
      </c>
      <c r="M548">
        <v>3</v>
      </c>
      <c r="N548">
        <v>-0.70029607800000004</v>
      </c>
    </row>
    <row r="549" spans="1:14" x14ac:dyDescent="0.3">
      <c r="A549" t="s">
        <v>161</v>
      </c>
      <c r="B549">
        <v>137</v>
      </c>
      <c r="C549" t="s">
        <v>21</v>
      </c>
      <c r="D549" t="s">
        <v>16</v>
      </c>
      <c r="E549">
        <v>2</v>
      </c>
      <c r="F549" t="s">
        <v>24</v>
      </c>
      <c r="G549">
        <v>1</v>
      </c>
      <c r="H549" t="s">
        <v>18</v>
      </c>
      <c r="I549">
        <v>1</v>
      </c>
      <c r="J549">
        <v>31.377644669999999</v>
      </c>
      <c r="K549">
        <v>42.898473520000003</v>
      </c>
      <c r="L549">
        <v>0.59836216099999995</v>
      </c>
      <c r="M549">
        <v>4</v>
      </c>
      <c r="N549">
        <v>0.53732613200000001</v>
      </c>
    </row>
    <row r="550" spans="1:14" x14ac:dyDescent="0.3">
      <c r="A550" t="s">
        <v>162</v>
      </c>
      <c r="B550">
        <v>138</v>
      </c>
      <c r="C550" t="s">
        <v>15</v>
      </c>
      <c r="D550" t="s">
        <v>16</v>
      </c>
      <c r="E550">
        <v>2</v>
      </c>
      <c r="F550" t="s">
        <v>24</v>
      </c>
      <c r="G550">
        <v>1</v>
      </c>
      <c r="H550" t="s">
        <v>25</v>
      </c>
      <c r="I550">
        <v>0</v>
      </c>
      <c r="J550">
        <v>46.141037949999998</v>
      </c>
      <c r="K550">
        <v>55.625817230000003</v>
      </c>
      <c r="L550">
        <v>0.58233513299999995</v>
      </c>
      <c r="M550">
        <v>1</v>
      </c>
      <c r="N550">
        <v>-2.2017823220000001</v>
      </c>
    </row>
    <row r="551" spans="1:14" x14ac:dyDescent="0.3">
      <c r="A551" t="s">
        <v>162</v>
      </c>
      <c r="B551">
        <v>138</v>
      </c>
      <c r="C551" t="s">
        <v>19</v>
      </c>
      <c r="D551" t="s">
        <v>16</v>
      </c>
      <c r="E551">
        <v>2</v>
      </c>
      <c r="F551" t="s">
        <v>24</v>
      </c>
      <c r="G551">
        <v>1</v>
      </c>
      <c r="H551" t="s">
        <v>25</v>
      </c>
      <c r="I551">
        <v>0</v>
      </c>
      <c r="J551">
        <v>46.141037949999998</v>
      </c>
      <c r="K551">
        <v>45.389983110000003</v>
      </c>
      <c r="L551">
        <v>0.71138327400000001</v>
      </c>
      <c r="M551">
        <v>2</v>
      </c>
      <c r="N551">
        <v>0.39197374400000001</v>
      </c>
    </row>
    <row r="552" spans="1:14" x14ac:dyDescent="0.3">
      <c r="A552" t="s">
        <v>162</v>
      </c>
      <c r="B552">
        <v>138</v>
      </c>
      <c r="C552" t="s">
        <v>20</v>
      </c>
      <c r="D552" t="s">
        <v>16</v>
      </c>
      <c r="E552">
        <v>2</v>
      </c>
      <c r="F552" t="s">
        <v>24</v>
      </c>
      <c r="G552">
        <v>1</v>
      </c>
      <c r="H552" t="s">
        <v>25</v>
      </c>
      <c r="I552">
        <v>0</v>
      </c>
      <c r="J552">
        <v>46.141037949999998</v>
      </c>
      <c r="K552">
        <v>52.667429599999998</v>
      </c>
      <c r="L552">
        <v>0.79946837900000001</v>
      </c>
      <c r="M552">
        <v>3</v>
      </c>
      <c r="N552">
        <v>0.49696095200000001</v>
      </c>
    </row>
    <row r="553" spans="1:14" x14ac:dyDescent="0.3">
      <c r="A553" t="s">
        <v>162</v>
      </c>
      <c r="B553">
        <v>138</v>
      </c>
      <c r="C553" t="s">
        <v>21</v>
      </c>
      <c r="D553" t="s">
        <v>16</v>
      </c>
      <c r="E553">
        <v>2</v>
      </c>
      <c r="F553" t="s">
        <v>24</v>
      </c>
      <c r="G553">
        <v>1</v>
      </c>
      <c r="H553" t="s">
        <v>25</v>
      </c>
      <c r="I553">
        <v>0</v>
      </c>
      <c r="J553">
        <v>46.141037949999998</v>
      </c>
      <c r="L553">
        <v>0.45476560599999999</v>
      </c>
      <c r="M553">
        <v>4</v>
      </c>
      <c r="N553">
        <v>-0.224874715</v>
      </c>
    </row>
    <row r="554" spans="1:14" x14ac:dyDescent="0.3">
      <c r="A554" t="s">
        <v>163</v>
      </c>
      <c r="B554">
        <v>139</v>
      </c>
      <c r="C554" t="s">
        <v>15</v>
      </c>
      <c r="D554" t="s">
        <v>16</v>
      </c>
      <c r="E554">
        <v>2</v>
      </c>
      <c r="F554" t="s">
        <v>24</v>
      </c>
      <c r="G554">
        <v>1</v>
      </c>
      <c r="H554" t="s">
        <v>18</v>
      </c>
      <c r="I554">
        <v>1</v>
      </c>
      <c r="J554">
        <v>40.203936200000001</v>
      </c>
      <c r="L554">
        <v>0.50472127499999997</v>
      </c>
      <c r="M554">
        <v>1</v>
      </c>
      <c r="N554">
        <v>-1.1171431650000001</v>
      </c>
    </row>
    <row r="555" spans="1:14" x14ac:dyDescent="0.3">
      <c r="A555" t="s">
        <v>163</v>
      </c>
      <c r="B555">
        <v>139</v>
      </c>
      <c r="C555" t="s">
        <v>19</v>
      </c>
      <c r="D555" t="s">
        <v>16</v>
      </c>
      <c r="E555">
        <v>2</v>
      </c>
      <c r="F555" t="s">
        <v>24</v>
      </c>
      <c r="G555">
        <v>1</v>
      </c>
      <c r="H555" t="s">
        <v>18</v>
      </c>
      <c r="I555">
        <v>1</v>
      </c>
      <c r="J555">
        <v>40.203936200000001</v>
      </c>
      <c r="L555">
        <v>0.812672544</v>
      </c>
      <c r="M555">
        <v>2</v>
      </c>
      <c r="N555">
        <v>-0.394994603</v>
      </c>
    </row>
    <row r="556" spans="1:14" x14ac:dyDescent="0.3">
      <c r="A556" t="s">
        <v>163</v>
      </c>
      <c r="B556">
        <v>139</v>
      </c>
      <c r="C556" t="s">
        <v>20</v>
      </c>
      <c r="D556" t="s">
        <v>16</v>
      </c>
      <c r="E556">
        <v>2</v>
      </c>
      <c r="F556" t="s">
        <v>24</v>
      </c>
      <c r="G556">
        <v>1</v>
      </c>
      <c r="H556" t="s">
        <v>18</v>
      </c>
      <c r="I556">
        <v>1</v>
      </c>
      <c r="J556">
        <v>40.203936200000001</v>
      </c>
      <c r="K556">
        <v>34.189306440000003</v>
      </c>
      <c r="L556">
        <v>0.402095482</v>
      </c>
      <c r="M556">
        <v>3</v>
      </c>
      <c r="N556">
        <v>1.5498303419999999</v>
      </c>
    </row>
    <row r="557" spans="1:14" x14ac:dyDescent="0.3">
      <c r="A557" t="s">
        <v>163</v>
      </c>
      <c r="B557">
        <v>139</v>
      </c>
      <c r="C557" t="s">
        <v>21</v>
      </c>
      <c r="D557" t="s">
        <v>16</v>
      </c>
      <c r="E557">
        <v>2</v>
      </c>
      <c r="F557" t="s">
        <v>24</v>
      </c>
      <c r="G557">
        <v>1</v>
      </c>
      <c r="H557" t="s">
        <v>18</v>
      </c>
      <c r="I557">
        <v>1</v>
      </c>
      <c r="J557">
        <v>40.203936200000001</v>
      </c>
      <c r="K557">
        <v>45.59740163</v>
      </c>
      <c r="L557">
        <v>0.306242183</v>
      </c>
      <c r="M557">
        <v>4</v>
      </c>
      <c r="N557">
        <v>-0.74351447999999998</v>
      </c>
    </row>
    <row r="558" spans="1:14" x14ac:dyDescent="0.3">
      <c r="A558" t="s">
        <v>164</v>
      </c>
      <c r="B558">
        <v>140</v>
      </c>
      <c r="C558" t="s">
        <v>15</v>
      </c>
      <c r="D558" t="s">
        <v>23</v>
      </c>
      <c r="E558">
        <v>1</v>
      </c>
      <c r="F558" t="s">
        <v>17</v>
      </c>
      <c r="G558">
        <v>2</v>
      </c>
      <c r="H558" t="s">
        <v>18</v>
      </c>
      <c r="I558">
        <v>1</v>
      </c>
      <c r="J558">
        <v>37.649560309999998</v>
      </c>
      <c r="K558">
        <v>28.891981990000001</v>
      </c>
      <c r="L558">
        <v>0.23558926799999999</v>
      </c>
      <c r="M558">
        <v>1</v>
      </c>
      <c r="N558">
        <v>-2.331712118</v>
      </c>
    </row>
    <row r="559" spans="1:14" x14ac:dyDescent="0.3">
      <c r="A559" t="s">
        <v>164</v>
      </c>
      <c r="B559">
        <v>140</v>
      </c>
      <c r="C559" t="s">
        <v>19</v>
      </c>
      <c r="D559" t="s">
        <v>23</v>
      </c>
      <c r="E559">
        <v>1</v>
      </c>
      <c r="F559" t="s">
        <v>17</v>
      </c>
      <c r="G559">
        <v>2</v>
      </c>
      <c r="H559" t="s">
        <v>18</v>
      </c>
      <c r="I559">
        <v>1</v>
      </c>
      <c r="J559">
        <v>37.649560309999998</v>
      </c>
      <c r="K559">
        <v>38.46147423</v>
      </c>
      <c r="L559">
        <v>0.16913246300000001</v>
      </c>
      <c r="M559">
        <v>2</v>
      </c>
      <c r="N559">
        <v>0.81224544200000004</v>
      </c>
    </row>
    <row r="560" spans="1:14" x14ac:dyDescent="0.3">
      <c r="A560" t="s">
        <v>164</v>
      </c>
      <c r="B560">
        <v>140</v>
      </c>
      <c r="C560" t="s">
        <v>20</v>
      </c>
      <c r="D560" t="s">
        <v>23</v>
      </c>
      <c r="E560">
        <v>1</v>
      </c>
      <c r="F560" t="s">
        <v>17</v>
      </c>
      <c r="G560">
        <v>2</v>
      </c>
      <c r="H560" t="s">
        <v>18</v>
      </c>
      <c r="I560">
        <v>1</v>
      </c>
      <c r="J560">
        <v>37.649560309999998</v>
      </c>
      <c r="L560">
        <v>0.64563279600000001</v>
      </c>
      <c r="M560">
        <v>3</v>
      </c>
      <c r="N560">
        <v>-0.50131065699999999</v>
      </c>
    </row>
    <row r="561" spans="1:14" x14ac:dyDescent="0.3">
      <c r="A561" t="s">
        <v>164</v>
      </c>
      <c r="B561">
        <v>140</v>
      </c>
      <c r="C561" t="s">
        <v>21</v>
      </c>
      <c r="D561" t="s">
        <v>23</v>
      </c>
      <c r="E561">
        <v>1</v>
      </c>
      <c r="F561" t="s">
        <v>17</v>
      </c>
      <c r="G561">
        <v>2</v>
      </c>
      <c r="H561" t="s">
        <v>18</v>
      </c>
      <c r="I561">
        <v>1</v>
      </c>
      <c r="J561">
        <v>37.649560309999998</v>
      </c>
      <c r="K561">
        <v>49.903566959999999</v>
      </c>
      <c r="L561">
        <v>0.38695674699999999</v>
      </c>
      <c r="M561">
        <v>4</v>
      </c>
      <c r="N561">
        <v>-0.51088656600000004</v>
      </c>
    </row>
    <row r="562" spans="1:14" x14ac:dyDescent="0.3">
      <c r="A562" t="s">
        <v>165</v>
      </c>
      <c r="B562">
        <v>141</v>
      </c>
      <c r="C562" t="s">
        <v>15</v>
      </c>
      <c r="D562" t="s">
        <v>16</v>
      </c>
      <c r="E562">
        <v>2</v>
      </c>
      <c r="F562" t="s">
        <v>33</v>
      </c>
      <c r="G562">
        <v>3</v>
      </c>
      <c r="H562" t="s">
        <v>25</v>
      </c>
      <c r="I562">
        <v>0</v>
      </c>
      <c r="J562">
        <v>29.861173470000001</v>
      </c>
      <c r="L562">
        <v>0.15202412700000001</v>
      </c>
      <c r="M562">
        <v>1</v>
      </c>
      <c r="N562">
        <v>-1.215364041</v>
      </c>
    </row>
    <row r="563" spans="1:14" x14ac:dyDescent="0.3">
      <c r="A563" t="s">
        <v>165</v>
      </c>
      <c r="B563">
        <v>141</v>
      </c>
      <c r="C563" t="s">
        <v>19</v>
      </c>
      <c r="D563" t="s">
        <v>16</v>
      </c>
      <c r="E563">
        <v>2</v>
      </c>
      <c r="F563" t="s">
        <v>33</v>
      </c>
      <c r="G563">
        <v>3</v>
      </c>
      <c r="H563" t="s">
        <v>25</v>
      </c>
      <c r="I563">
        <v>0</v>
      </c>
      <c r="J563">
        <v>29.861173470000001</v>
      </c>
      <c r="K563">
        <v>44.141668420000002</v>
      </c>
      <c r="L563">
        <v>0.154319921</v>
      </c>
      <c r="M563">
        <v>2</v>
      </c>
      <c r="N563">
        <v>-2.2558628000000001E-2</v>
      </c>
    </row>
    <row r="564" spans="1:14" x14ac:dyDescent="0.3">
      <c r="A564" t="s">
        <v>165</v>
      </c>
      <c r="B564">
        <v>141</v>
      </c>
      <c r="C564" t="s">
        <v>20</v>
      </c>
      <c r="D564" t="s">
        <v>16</v>
      </c>
      <c r="E564">
        <v>2</v>
      </c>
      <c r="F564" t="s">
        <v>33</v>
      </c>
      <c r="G564">
        <v>3</v>
      </c>
      <c r="H564" t="s">
        <v>25</v>
      </c>
      <c r="I564">
        <v>0</v>
      </c>
      <c r="J564">
        <v>29.861173470000001</v>
      </c>
      <c r="L564">
        <v>0.55219602099999998</v>
      </c>
      <c r="M564">
        <v>3</v>
      </c>
      <c r="N564">
        <v>0.70123930000000001</v>
      </c>
    </row>
    <row r="565" spans="1:14" x14ac:dyDescent="0.3">
      <c r="A565" t="s">
        <v>165</v>
      </c>
      <c r="B565">
        <v>141</v>
      </c>
      <c r="C565" t="s">
        <v>21</v>
      </c>
      <c r="D565" t="s">
        <v>16</v>
      </c>
      <c r="E565">
        <v>2</v>
      </c>
      <c r="F565" t="s">
        <v>33</v>
      </c>
      <c r="G565">
        <v>3</v>
      </c>
      <c r="H565" t="s">
        <v>25</v>
      </c>
      <c r="I565">
        <v>0</v>
      </c>
      <c r="J565">
        <v>29.861173470000001</v>
      </c>
      <c r="K565">
        <v>55.242779970000001</v>
      </c>
      <c r="L565">
        <v>0.645664723</v>
      </c>
      <c r="M565">
        <v>4</v>
      </c>
      <c r="N565">
        <v>-0.58748202599999999</v>
      </c>
    </row>
    <row r="566" spans="1:14" x14ac:dyDescent="0.3">
      <c r="A566" t="s">
        <v>166</v>
      </c>
      <c r="B566">
        <v>142</v>
      </c>
      <c r="C566" t="s">
        <v>15</v>
      </c>
      <c r="D566" t="s">
        <v>16</v>
      </c>
      <c r="E566">
        <v>2</v>
      </c>
      <c r="F566" t="s">
        <v>17</v>
      </c>
      <c r="G566">
        <v>2</v>
      </c>
      <c r="H566" t="s">
        <v>25</v>
      </c>
      <c r="I566">
        <v>0</v>
      </c>
      <c r="J566">
        <v>50.859323660000001</v>
      </c>
      <c r="L566">
        <v>0.25353110400000001</v>
      </c>
      <c r="M566">
        <v>1</v>
      </c>
      <c r="N566">
        <v>-0.60672794100000005</v>
      </c>
    </row>
    <row r="567" spans="1:14" x14ac:dyDescent="0.3">
      <c r="A567" t="s">
        <v>166</v>
      </c>
      <c r="B567">
        <v>142</v>
      </c>
      <c r="C567" t="s">
        <v>19</v>
      </c>
      <c r="D567" t="s">
        <v>16</v>
      </c>
      <c r="E567">
        <v>2</v>
      </c>
      <c r="F567" t="s">
        <v>17</v>
      </c>
      <c r="G567">
        <v>2</v>
      </c>
      <c r="H567" t="s">
        <v>25</v>
      </c>
      <c r="I567">
        <v>0</v>
      </c>
      <c r="J567">
        <v>50.859323660000001</v>
      </c>
      <c r="L567">
        <v>0.31250652099999998</v>
      </c>
      <c r="M567">
        <v>2</v>
      </c>
      <c r="N567">
        <v>1.0966402150000001</v>
      </c>
    </row>
    <row r="568" spans="1:14" x14ac:dyDescent="0.3">
      <c r="A568" t="s">
        <v>166</v>
      </c>
      <c r="B568">
        <v>142</v>
      </c>
      <c r="C568" t="s">
        <v>20</v>
      </c>
      <c r="D568" t="s">
        <v>16</v>
      </c>
      <c r="E568">
        <v>2</v>
      </c>
      <c r="F568" t="s">
        <v>17</v>
      </c>
      <c r="G568">
        <v>2</v>
      </c>
      <c r="H568" t="s">
        <v>25</v>
      </c>
      <c r="I568">
        <v>0</v>
      </c>
      <c r="J568">
        <v>50.859323660000001</v>
      </c>
      <c r="L568">
        <v>0.85556544000000001</v>
      </c>
      <c r="M568">
        <v>3</v>
      </c>
      <c r="N568">
        <v>-0.24750967700000001</v>
      </c>
    </row>
    <row r="569" spans="1:14" x14ac:dyDescent="0.3">
      <c r="A569" t="s">
        <v>166</v>
      </c>
      <c r="B569">
        <v>142</v>
      </c>
      <c r="C569" t="s">
        <v>21</v>
      </c>
      <c r="D569" t="s">
        <v>16</v>
      </c>
      <c r="E569">
        <v>2</v>
      </c>
      <c r="F569" t="s">
        <v>17</v>
      </c>
      <c r="G569">
        <v>2</v>
      </c>
      <c r="H569" t="s">
        <v>25</v>
      </c>
      <c r="I569">
        <v>0</v>
      </c>
      <c r="J569">
        <v>50.859323660000001</v>
      </c>
      <c r="L569">
        <v>0.51570218000000001</v>
      </c>
      <c r="M569">
        <v>4</v>
      </c>
      <c r="N569">
        <v>-0.159901713</v>
      </c>
    </row>
    <row r="570" spans="1:14" x14ac:dyDescent="0.3">
      <c r="A570" t="s">
        <v>167</v>
      </c>
      <c r="B570">
        <v>143</v>
      </c>
      <c r="C570" t="s">
        <v>15</v>
      </c>
      <c r="D570" t="s">
        <v>16</v>
      </c>
      <c r="E570">
        <v>2</v>
      </c>
      <c r="F570" t="s">
        <v>17</v>
      </c>
      <c r="G570">
        <v>2</v>
      </c>
      <c r="H570" t="s">
        <v>18</v>
      </c>
      <c r="I570">
        <v>1</v>
      </c>
      <c r="J570">
        <v>22.859362149999999</v>
      </c>
      <c r="K570">
        <v>27.38000967</v>
      </c>
      <c r="L570">
        <v>0.69284301699999995</v>
      </c>
      <c r="M570">
        <v>1</v>
      </c>
      <c r="N570">
        <v>-0.62577825099999995</v>
      </c>
    </row>
    <row r="571" spans="1:14" x14ac:dyDescent="0.3">
      <c r="A571" t="s">
        <v>167</v>
      </c>
      <c r="B571">
        <v>143</v>
      </c>
      <c r="C571" t="s">
        <v>19</v>
      </c>
      <c r="D571" t="s">
        <v>16</v>
      </c>
      <c r="E571">
        <v>2</v>
      </c>
      <c r="F571" t="s">
        <v>17</v>
      </c>
      <c r="G571">
        <v>2</v>
      </c>
      <c r="H571" t="s">
        <v>18</v>
      </c>
      <c r="I571">
        <v>1</v>
      </c>
      <c r="J571">
        <v>22.859362149999999</v>
      </c>
      <c r="K571">
        <v>33.632505260000002</v>
      </c>
      <c r="L571">
        <v>0.27724473199999999</v>
      </c>
      <c r="M571">
        <v>2</v>
      </c>
      <c r="N571">
        <v>0.90043463599999995</v>
      </c>
    </row>
    <row r="572" spans="1:14" x14ac:dyDescent="0.3">
      <c r="A572" t="s">
        <v>167</v>
      </c>
      <c r="B572">
        <v>143</v>
      </c>
      <c r="C572" t="s">
        <v>20</v>
      </c>
      <c r="D572" t="s">
        <v>16</v>
      </c>
      <c r="E572">
        <v>2</v>
      </c>
      <c r="F572" t="s">
        <v>17</v>
      </c>
      <c r="G572">
        <v>2</v>
      </c>
      <c r="H572" t="s">
        <v>18</v>
      </c>
      <c r="I572">
        <v>1</v>
      </c>
      <c r="J572">
        <v>22.859362149999999</v>
      </c>
      <c r="L572">
        <v>0.61167397499999998</v>
      </c>
      <c r="M572">
        <v>3</v>
      </c>
      <c r="N572">
        <v>-0.99419362899999997</v>
      </c>
    </row>
    <row r="573" spans="1:14" x14ac:dyDescent="0.3">
      <c r="A573" t="s">
        <v>167</v>
      </c>
      <c r="B573">
        <v>143</v>
      </c>
      <c r="C573" t="s">
        <v>21</v>
      </c>
      <c r="D573" t="s">
        <v>16</v>
      </c>
      <c r="E573">
        <v>2</v>
      </c>
      <c r="F573" t="s">
        <v>17</v>
      </c>
      <c r="G573">
        <v>2</v>
      </c>
      <c r="H573" t="s">
        <v>18</v>
      </c>
      <c r="I573">
        <v>1</v>
      </c>
      <c r="J573">
        <v>22.859362149999999</v>
      </c>
      <c r="K573">
        <v>39.344095119999999</v>
      </c>
      <c r="L573">
        <v>0.60104387400000003</v>
      </c>
      <c r="M573">
        <v>4</v>
      </c>
      <c r="N573">
        <v>0.84925038600000002</v>
      </c>
    </row>
    <row r="574" spans="1:14" x14ac:dyDescent="0.3">
      <c r="A574" t="s">
        <v>168</v>
      </c>
      <c r="B574">
        <v>144</v>
      </c>
      <c r="C574" t="s">
        <v>15</v>
      </c>
      <c r="D574" t="s">
        <v>23</v>
      </c>
      <c r="E574">
        <v>1</v>
      </c>
      <c r="F574" t="s">
        <v>24</v>
      </c>
      <c r="G574">
        <v>1</v>
      </c>
      <c r="H574" t="s">
        <v>18</v>
      </c>
      <c r="I574">
        <v>1</v>
      </c>
      <c r="J574">
        <v>43.960853020000002</v>
      </c>
      <c r="K574">
        <v>26.98575284</v>
      </c>
      <c r="L574">
        <v>0.53262212499999995</v>
      </c>
      <c r="M574">
        <v>1</v>
      </c>
      <c r="N574">
        <v>0.80570228899999996</v>
      </c>
    </row>
    <row r="575" spans="1:14" x14ac:dyDescent="0.3">
      <c r="A575" t="s">
        <v>168</v>
      </c>
      <c r="B575">
        <v>144</v>
      </c>
      <c r="C575" t="s">
        <v>19</v>
      </c>
      <c r="D575" t="s">
        <v>23</v>
      </c>
      <c r="E575">
        <v>1</v>
      </c>
      <c r="F575" t="s">
        <v>24</v>
      </c>
      <c r="G575">
        <v>1</v>
      </c>
      <c r="H575" t="s">
        <v>18</v>
      </c>
      <c r="I575">
        <v>1</v>
      </c>
      <c r="J575">
        <v>43.960853020000002</v>
      </c>
      <c r="K575">
        <v>24.041749970000001</v>
      </c>
      <c r="L575">
        <v>0.292714841</v>
      </c>
      <c r="M575">
        <v>2</v>
      </c>
      <c r="N575">
        <v>-0.46760093600000002</v>
      </c>
    </row>
    <row r="576" spans="1:14" x14ac:dyDescent="0.3">
      <c r="A576" t="s">
        <v>168</v>
      </c>
      <c r="B576">
        <v>144</v>
      </c>
      <c r="C576" t="s">
        <v>20</v>
      </c>
      <c r="D576" t="s">
        <v>23</v>
      </c>
      <c r="E576">
        <v>1</v>
      </c>
      <c r="F576" t="s">
        <v>24</v>
      </c>
      <c r="G576">
        <v>1</v>
      </c>
      <c r="H576" t="s">
        <v>18</v>
      </c>
      <c r="I576">
        <v>1</v>
      </c>
      <c r="J576">
        <v>43.960853020000002</v>
      </c>
      <c r="K576">
        <v>42.166482119999998</v>
      </c>
      <c r="L576">
        <v>0.299802505</v>
      </c>
      <c r="M576">
        <v>3</v>
      </c>
      <c r="N576">
        <v>0.84842031399999995</v>
      </c>
    </row>
    <row r="577" spans="1:14" x14ac:dyDescent="0.3">
      <c r="A577" t="s">
        <v>168</v>
      </c>
      <c r="B577">
        <v>144</v>
      </c>
      <c r="C577" t="s">
        <v>21</v>
      </c>
      <c r="D577" t="s">
        <v>23</v>
      </c>
      <c r="E577">
        <v>1</v>
      </c>
      <c r="F577" t="s">
        <v>24</v>
      </c>
      <c r="G577">
        <v>1</v>
      </c>
      <c r="H577" t="s">
        <v>18</v>
      </c>
      <c r="I577">
        <v>1</v>
      </c>
      <c r="J577">
        <v>43.960853020000002</v>
      </c>
      <c r="K577">
        <v>44.75380183</v>
      </c>
      <c r="L577">
        <v>0.47419481400000002</v>
      </c>
      <c r="M577">
        <v>4</v>
      </c>
      <c r="N577">
        <v>0.986769864</v>
      </c>
    </row>
    <row r="578" spans="1:14" x14ac:dyDescent="0.3">
      <c r="A578" t="s">
        <v>169</v>
      </c>
      <c r="B578">
        <v>145</v>
      </c>
      <c r="C578" t="s">
        <v>15</v>
      </c>
      <c r="D578" t="s">
        <v>23</v>
      </c>
      <c r="E578">
        <v>1</v>
      </c>
      <c r="F578" t="s">
        <v>17</v>
      </c>
      <c r="G578">
        <v>2</v>
      </c>
      <c r="H578" t="s">
        <v>25</v>
      </c>
      <c r="I578">
        <v>0</v>
      </c>
      <c r="J578">
        <v>56.023147309999999</v>
      </c>
      <c r="K578">
        <v>31.554694980000001</v>
      </c>
      <c r="L578">
        <v>0.76759670300000005</v>
      </c>
      <c r="M578">
        <v>1</v>
      </c>
      <c r="N578">
        <v>0.57562028899999995</v>
      </c>
    </row>
    <row r="579" spans="1:14" x14ac:dyDescent="0.3">
      <c r="A579" t="s">
        <v>169</v>
      </c>
      <c r="B579">
        <v>145</v>
      </c>
      <c r="C579" t="s">
        <v>19</v>
      </c>
      <c r="D579" t="s">
        <v>23</v>
      </c>
      <c r="E579">
        <v>1</v>
      </c>
      <c r="F579" t="s">
        <v>17</v>
      </c>
      <c r="G579">
        <v>2</v>
      </c>
      <c r="H579" t="s">
        <v>25</v>
      </c>
      <c r="I579">
        <v>0</v>
      </c>
      <c r="J579">
        <v>56.023147309999999</v>
      </c>
      <c r="K579">
        <v>44.426957649999999</v>
      </c>
      <c r="L579">
        <v>0.28713626599999997</v>
      </c>
      <c r="M579">
        <v>2</v>
      </c>
      <c r="N579">
        <v>2.0248420450000002</v>
      </c>
    </row>
    <row r="580" spans="1:14" x14ac:dyDescent="0.3">
      <c r="A580" t="s">
        <v>169</v>
      </c>
      <c r="B580">
        <v>145</v>
      </c>
      <c r="C580" t="s">
        <v>20</v>
      </c>
      <c r="D580" t="s">
        <v>23</v>
      </c>
      <c r="E580">
        <v>1</v>
      </c>
      <c r="F580" t="s">
        <v>17</v>
      </c>
      <c r="G580">
        <v>2</v>
      </c>
      <c r="H580" t="s">
        <v>25</v>
      </c>
      <c r="I580">
        <v>0</v>
      </c>
      <c r="J580">
        <v>56.023147309999999</v>
      </c>
      <c r="K580">
        <v>44.10343409</v>
      </c>
      <c r="L580">
        <v>0.72010912699999996</v>
      </c>
      <c r="M580">
        <v>3</v>
      </c>
      <c r="N580">
        <v>-1.9623531910000001</v>
      </c>
    </row>
    <row r="581" spans="1:14" x14ac:dyDescent="0.3">
      <c r="A581" t="s">
        <v>169</v>
      </c>
      <c r="B581">
        <v>145</v>
      </c>
      <c r="C581" t="s">
        <v>21</v>
      </c>
      <c r="D581" t="s">
        <v>23</v>
      </c>
      <c r="E581">
        <v>1</v>
      </c>
      <c r="F581" t="s">
        <v>17</v>
      </c>
      <c r="G581">
        <v>2</v>
      </c>
      <c r="H581" t="s">
        <v>25</v>
      </c>
      <c r="I581">
        <v>0</v>
      </c>
      <c r="J581">
        <v>56.023147309999999</v>
      </c>
      <c r="L581">
        <v>0.51729038800000005</v>
      </c>
      <c r="M581">
        <v>4</v>
      </c>
      <c r="N581">
        <v>-1.1649209309999999</v>
      </c>
    </row>
    <row r="582" spans="1:14" x14ac:dyDescent="0.3">
      <c r="A582" t="s">
        <v>170</v>
      </c>
      <c r="B582">
        <v>146</v>
      </c>
      <c r="C582" t="s">
        <v>15</v>
      </c>
      <c r="D582" t="s">
        <v>16</v>
      </c>
      <c r="E582">
        <v>2</v>
      </c>
      <c r="F582" t="s">
        <v>24</v>
      </c>
      <c r="G582">
        <v>1</v>
      </c>
      <c r="H582" t="s">
        <v>18</v>
      </c>
      <c r="I582">
        <v>1</v>
      </c>
      <c r="J582">
        <v>39.594341679999999</v>
      </c>
      <c r="L582">
        <v>0.367377275</v>
      </c>
      <c r="M582">
        <v>1</v>
      </c>
      <c r="N582">
        <v>-1.376519214</v>
      </c>
    </row>
    <row r="583" spans="1:14" x14ac:dyDescent="0.3">
      <c r="A583" t="s">
        <v>170</v>
      </c>
      <c r="B583">
        <v>146</v>
      </c>
      <c r="C583" t="s">
        <v>19</v>
      </c>
      <c r="D583" t="s">
        <v>16</v>
      </c>
      <c r="E583">
        <v>2</v>
      </c>
      <c r="F583" t="s">
        <v>24</v>
      </c>
      <c r="G583">
        <v>1</v>
      </c>
      <c r="H583" t="s">
        <v>18</v>
      </c>
      <c r="I583">
        <v>1</v>
      </c>
      <c r="J583">
        <v>39.594341679999999</v>
      </c>
      <c r="K583">
        <v>37.874454280000002</v>
      </c>
      <c r="L583">
        <v>0.72277103700000001</v>
      </c>
      <c r="M583">
        <v>2</v>
      </c>
      <c r="N583">
        <v>0.167679934</v>
      </c>
    </row>
    <row r="584" spans="1:14" x14ac:dyDescent="0.3">
      <c r="A584" t="s">
        <v>170</v>
      </c>
      <c r="B584">
        <v>146</v>
      </c>
      <c r="C584" t="s">
        <v>20</v>
      </c>
      <c r="D584" t="s">
        <v>16</v>
      </c>
      <c r="E584">
        <v>2</v>
      </c>
      <c r="F584" t="s">
        <v>24</v>
      </c>
      <c r="G584">
        <v>1</v>
      </c>
      <c r="H584" t="s">
        <v>18</v>
      </c>
      <c r="I584">
        <v>1</v>
      </c>
      <c r="J584">
        <v>39.594341679999999</v>
      </c>
      <c r="K584">
        <v>48.318283030000003</v>
      </c>
      <c r="L584">
        <v>0.29010947999999998</v>
      </c>
      <c r="M584">
        <v>3</v>
      </c>
      <c r="N584">
        <v>1.5846290789999999</v>
      </c>
    </row>
    <row r="585" spans="1:14" x14ac:dyDescent="0.3">
      <c r="A585" t="s">
        <v>170</v>
      </c>
      <c r="B585">
        <v>146</v>
      </c>
      <c r="C585" t="s">
        <v>21</v>
      </c>
      <c r="D585" t="s">
        <v>16</v>
      </c>
      <c r="E585">
        <v>2</v>
      </c>
      <c r="F585" t="s">
        <v>24</v>
      </c>
      <c r="G585">
        <v>1</v>
      </c>
      <c r="H585" t="s">
        <v>18</v>
      </c>
      <c r="I585">
        <v>1</v>
      </c>
      <c r="J585">
        <v>39.594341679999999</v>
      </c>
      <c r="K585">
        <v>50.215199480000003</v>
      </c>
      <c r="L585">
        <v>0.36938204200000002</v>
      </c>
      <c r="M585">
        <v>4</v>
      </c>
      <c r="N585">
        <v>1.6778889530000001</v>
      </c>
    </row>
    <row r="586" spans="1:14" x14ac:dyDescent="0.3">
      <c r="A586" t="s">
        <v>171</v>
      </c>
      <c r="B586">
        <v>147</v>
      </c>
      <c r="C586" t="s">
        <v>15</v>
      </c>
      <c r="D586" t="s">
        <v>23</v>
      </c>
      <c r="E586">
        <v>1</v>
      </c>
      <c r="F586" t="s">
        <v>24</v>
      </c>
      <c r="G586">
        <v>1</v>
      </c>
      <c r="H586" t="s">
        <v>18</v>
      </c>
      <c r="I586">
        <v>1</v>
      </c>
      <c r="J586">
        <v>49.956502039999997</v>
      </c>
      <c r="K586">
        <v>41.946151659999998</v>
      </c>
      <c r="L586">
        <v>0.43960327100000002</v>
      </c>
      <c r="M586">
        <v>1</v>
      </c>
      <c r="N586">
        <v>0.48829669799999997</v>
      </c>
    </row>
    <row r="587" spans="1:14" x14ac:dyDescent="0.3">
      <c r="A587" t="s">
        <v>171</v>
      </c>
      <c r="B587">
        <v>147</v>
      </c>
      <c r="C587" t="s">
        <v>19</v>
      </c>
      <c r="D587" t="s">
        <v>23</v>
      </c>
      <c r="E587">
        <v>1</v>
      </c>
      <c r="F587" t="s">
        <v>24</v>
      </c>
      <c r="G587">
        <v>1</v>
      </c>
      <c r="H587" t="s">
        <v>18</v>
      </c>
      <c r="I587">
        <v>1</v>
      </c>
      <c r="J587">
        <v>49.956502039999997</v>
      </c>
      <c r="K587">
        <v>39.626900710000001</v>
      </c>
      <c r="L587">
        <v>0.65849508800000001</v>
      </c>
      <c r="M587">
        <v>2</v>
      </c>
      <c r="N587">
        <v>0.87867326300000004</v>
      </c>
    </row>
    <row r="588" spans="1:14" x14ac:dyDescent="0.3">
      <c r="A588" t="s">
        <v>171</v>
      </c>
      <c r="B588">
        <v>147</v>
      </c>
      <c r="C588" t="s">
        <v>20</v>
      </c>
      <c r="D588" t="s">
        <v>23</v>
      </c>
      <c r="E588">
        <v>1</v>
      </c>
      <c r="F588" t="s">
        <v>24</v>
      </c>
      <c r="G588">
        <v>1</v>
      </c>
      <c r="H588" t="s">
        <v>18</v>
      </c>
      <c r="I588">
        <v>1</v>
      </c>
      <c r="J588">
        <v>49.956502039999997</v>
      </c>
      <c r="K588">
        <v>46.697634069999999</v>
      </c>
      <c r="L588">
        <v>0.62429756000000003</v>
      </c>
      <c r="M588">
        <v>3</v>
      </c>
      <c r="N588">
        <v>-0.14487487399999999</v>
      </c>
    </row>
    <row r="589" spans="1:14" x14ac:dyDescent="0.3">
      <c r="A589" t="s">
        <v>171</v>
      </c>
      <c r="B589">
        <v>147</v>
      </c>
      <c r="C589" t="s">
        <v>21</v>
      </c>
      <c r="D589" t="s">
        <v>23</v>
      </c>
      <c r="E589">
        <v>1</v>
      </c>
      <c r="F589" t="s">
        <v>24</v>
      </c>
      <c r="G589">
        <v>1</v>
      </c>
      <c r="H589" t="s">
        <v>18</v>
      </c>
      <c r="I589">
        <v>1</v>
      </c>
      <c r="J589">
        <v>49.956502039999997</v>
      </c>
      <c r="L589">
        <v>0.67761727400000005</v>
      </c>
      <c r="M589">
        <v>4</v>
      </c>
      <c r="N589">
        <v>0.46897176000000002</v>
      </c>
    </row>
    <row r="590" spans="1:14" x14ac:dyDescent="0.3">
      <c r="A590" t="s">
        <v>172</v>
      </c>
      <c r="B590">
        <v>148</v>
      </c>
      <c r="C590" t="s">
        <v>15</v>
      </c>
      <c r="D590" t="s">
        <v>16</v>
      </c>
      <c r="E590">
        <v>2</v>
      </c>
      <c r="F590" t="s">
        <v>17</v>
      </c>
      <c r="G590">
        <v>2</v>
      </c>
      <c r="H590" t="s">
        <v>25</v>
      </c>
      <c r="I590">
        <v>0</v>
      </c>
      <c r="J590">
        <v>43.285373130000004</v>
      </c>
      <c r="L590">
        <v>0.231260415</v>
      </c>
      <c r="M590">
        <v>1</v>
      </c>
      <c r="N590">
        <v>0.37623547699999998</v>
      </c>
    </row>
    <row r="591" spans="1:14" x14ac:dyDescent="0.3">
      <c r="A591" t="s">
        <v>172</v>
      </c>
      <c r="B591">
        <v>148</v>
      </c>
      <c r="C591" t="s">
        <v>19</v>
      </c>
      <c r="D591" t="s">
        <v>16</v>
      </c>
      <c r="E591">
        <v>2</v>
      </c>
      <c r="F591" t="s">
        <v>17</v>
      </c>
      <c r="G591">
        <v>2</v>
      </c>
      <c r="H591" t="s">
        <v>25</v>
      </c>
      <c r="I591">
        <v>0</v>
      </c>
      <c r="J591">
        <v>43.285373130000004</v>
      </c>
      <c r="K591">
        <v>43.7525476</v>
      </c>
      <c r="L591">
        <v>0.140522168</v>
      </c>
      <c r="M591">
        <v>2</v>
      </c>
      <c r="N591">
        <v>-0.76104027500000004</v>
      </c>
    </row>
    <row r="592" spans="1:14" x14ac:dyDescent="0.3">
      <c r="A592" t="s">
        <v>172</v>
      </c>
      <c r="B592">
        <v>148</v>
      </c>
      <c r="C592" t="s">
        <v>20</v>
      </c>
      <c r="D592" t="s">
        <v>16</v>
      </c>
      <c r="E592">
        <v>2</v>
      </c>
      <c r="F592" t="s">
        <v>17</v>
      </c>
      <c r="G592">
        <v>2</v>
      </c>
      <c r="H592" t="s">
        <v>25</v>
      </c>
      <c r="I592">
        <v>0</v>
      </c>
      <c r="J592">
        <v>43.285373130000004</v>
      </c>
      <c r="K592">
        <v>47.388731659999998</v>
      </c>
      <c r="L592">
        <v>0.55831205900000003</v>
      </c>
      <c r="M592">
        <v>3</v>
      </c>
      <c r="N592">
        <v>-0.29329493400000001</v>
      </c>
    </row>
    <row r="593" spans="1:14" x14ac:dyDescent="0.3">
      <c r="A593" t="s">
        <v>172</v>
      </c>
      <c r="B593">
        <v>148</v>
      </c>
      <c r="C593" t="s">
        <v>21</v>
      </c>
      <c r="D593" t="s">
        <v>16</v>
      </c>
      <c r="E593">
        <v>2</v>
      </c>
      <c r="F593" t="s">
        <v>17</v>
      </c>
      <c r="G593">
        <v>2</v>
      </c>
      <c r="H593" t="s">
        <v>25</v>
      </c>
      <c r="I593">
        <v>0</v>
      </c>
      <c r="J593">
        <v>43.285373130000004</v>
      </c>
      <c r="L593">
        <v>0.191328886</v>
      </c>
      <c r="M593">
        <v>4</v>
      </c>
      <c r="N593">
        <v>-0.13484126399999999</v>
      </c>
    </row>
    <row r="594" spans="1:14" x14ac:dyDescent="0.3">
      <c r="A594" t="s">
        <v>173</v>
      </c>
      <c r="B594">
        <v>149</v>
      </c>
      <c r="C594" t="s">
        <v>15</v>
      </c>
      <c r="D594" t="s">
        <v>23</v>
      </c>
      <c r="E594">
        <v>1</v>
      </c>
      <c r="F594" t="s">
        <v>24</v>
      </c>
      <c r="G594">
        <v>1</v>
      </c>
      <c r="H594" t="s">
        <v>18</v>
      </c>
      <c r="I594">
        <v>1</v>
      </c>
      <c r="J594">
        <v>42.405682280000001</v>
      </c>
      <c r="K594">
        <v>32.434119619999997</v>
      </c>
      <c r="L594">
        <v>0.112612264</v>
      </c>
      <c r="M594">
        <v>1</v>
      </c>
      <c r="N594">
        <v>1.393845816</v>
      </c>
    </row>
    <row r="595" spans="1:14" x14ac:dyDescent="0.3">
      <c r="A595" t="s">
        <v>173</v>
      </c>
      <c r="B595">
        <v>149</v>
      </c>
      <c r="C595" t="s">
        <v>19</v>
      </c>
      <c r="D595" t="s">
        <v>23</v>
      </c>
      <c r="E595">
        <v>1</v>
      </c>
      <c r="F595" t="s">
        <v>24</v>
      </c>
      <c r="G595">
        <v>1</v>
      </c>
      <c r="H595" t="s">
        <v>18</v>
      </c>
      <c r="I595">
        <v>1</v>
      </c>
      <c r="J595">
        <v>42.405682280000001</v>
      </c>
      <c r="K595">
        <v>43.071625349999998</v>
      </c>
      <c r="L595">
        <v>0.72179588100000003</v>
      </c>
      <c r="M595">
        <v>2</v>
      </c>
      <c r="N595">
        <v>-1.03698869</v>
      </c>
    </row>
    <row r="596" spans="1:14" x14ac:dyDescent="0.3">
      <c r="A596" t="s">
        <v>173</v>
      </c>
      <c r="B596">
        <v>149</v>
      </c>
      <c r="C596" t="s">
        <v>20</v>
      </c>
      <c r="D596" t="s">
        <v>23</v>
      </c>
      <c r="E596">
        <v>1</v>
      </c>
      <c r="F596" t="s">
        <v>24</v>
      </c>
      <c r="G596">
        <v>1</v>
      </c>
      <c r="H596" t="s">
        <v>18</v>
      </c>
      <c r="I596">
        <v>1</v>
      </c>
      <c r="J596">
        <v>42.405682280000001</v>
      </c>
      <c r="K596">
        <v>42.995513209999999</v>
      </c>
      <c r="L596">
        <v>0.313322608</v>
      </c>
      <c r="M596">
        <v>3</v>
      </c>
      <c r="N596">
        <v>-2.1143351479999999</v>
      </c>
    </row>
    <row r="597" spans="1:14" x14ac:dyDescent="0.3">
      <c r="A597" t="s">
        <v>173</v>
      </c>
      <c r="B597">
        <v>149</v>
      </c>
      <c r="C597" t="s">
        <v>21</v>
      </c>
      <c r="D597" t="s">
        <v>23</v>
      </c>
      <c r="E597">
        <v>1</v>
      </c>
      <c r="F597" t="s">
        <v>24</v>
      </c>
      <c r="G597">
        <v>1</v>
      </c>
      <c r="H597" t="s">
        <v>18</v>
      </c>
      <c r="I597">
        <v>1</v>
      </c>
      <c r="J597">
        <v>42.405682280000001</v>
      </c>
      <c r="K597">
        <v>53.827587540000003</v>
      </c>
      <c r="L597">
        <v>0.644166028</v>
      </c>
      <c r="M597">
        <v>4</v>
      </c>
      <c r="N597">
        <v>0.76827821799999996</v>
      </c>
    </row>
    <row r="598" spans="1:14" x14ac:dyDescent="0.3">
      <c r="A598" t="s">
        <v>174</v>
      </c>
      <c r="B598">
        <v>150</v>
      </c>
      <c r="C598" t="s">
        <v>15</v>
      </c>
      <c r="D598" t="s">
        <v>23</v>
      </c>
      <c r="E598">
        <v>1</v>
      </c>
      <c r="F598" t="s">
        <v>33</v>
      </c>
      <c r="G598">
        <v>3</v>
      </c>
      <c r="H598" t="s">
        <v>25</v>
      </c>
      <c r="I598">
        <v>0</v>
      </c>
      <c r="J598">
        <v>41.611736370000003</v>
      </c>
      <c r="L598">
        <v>0.27760399099999999</v>
      </c>
      <c r="M598">
        <v>1</v>
      </c>
      <c r="N598">
        <v>-0.81616062099999998</v>
      </c>
    </row>
    <row r="599" spans="1:14" x14ac:dyDescent="0.3">
      <c r="A599" t="s">
        <v>174</v>
      </c>
      <c r="B599">
        <v>150</v>
      </c>
      <c r="C599" t="s">
        <v>19</v>
      </c>
      <c r="D599" t="s">
        <v>23</v>
      </c>
      <c r="E599">
        <v>1</v>
      </c>
      <c r="F599" t="s">
        <v>33</v>
      </c>
      <c r="G599">
        <v>3</v>
      </c>
      <c r="H599" t="s">
        <v>25</v>
      </c>
      <c r="I599">
        <v>0</v>
      </c>
      <c r="J599">
        <v>41.611736370000003</v>
      </c>
      <c r="L599">
        <v>0.87939412500000003</v>
      </c>
      <c r="M599">
        <v>2</v>
      </c>
      <c r="N599">
        <v>-0.43610692299999998</v>
      </c>
    </row>
    <row r="600" spans="1:14" x14ac:dyDescent="0.3">
      <c r="A600" t="s">
        <v>174</v>
      </c>
      <c r="B600">
        <v>150</v>
      </c>
      <c r="C600" t="s">
        <v>20</v>
      </c>
      <c r="D600" t="s">
        <v>23</v>
      </c>
      <c r="E600">
        <v>1</v>
      </c>
      <c r="F600" t="s">
        <v>33</v>
      </c>
      <c r="G600">
        <v>3</v>
      </c>
      <c r="H600" t="s">
        <v>25</v>
      </c>
      <c r="I600">
        <v>0</v>
      </c>
      <c r="J600">
        <v>41.611736370000003</v>
      </c>
      <c r="K600">
        <v>50.648022220000001</v>
      </c>
      <c r="L600">
        <v>0.643029568</v>
      </c>
      <c r="M600">
        <v>3</v>
      </c>
      <c r="N600">
        <v>0.90470503099999999</v>
      </c>
    </row>
    <row r="601" spans="1:14" x14ac:dyDescent="0.3">
      <c r="A601" t="s">
        <v>174</v>
      </c>
      <c r="B601">
        <v>150</v>
      </c>
      <c r="C601" t="s">
        <v>21</v>
      </c>
      <c r="D601" t="s">
        <v>23</v>
      </c>
      <c r="E601">
        <v>1</v>
      </c>
      <c r="F601" t="s">
        <v>33</v>
      </c>
      <c r="G601">
        <v>3</v>
      </c>
      <c r="H601" t="s">
        <v>25</v>
      </c>
      <c r="I601">
        <v>0</v>
      </c>
      <c r="J601">
        <v>41.611736370000003</v>
      </c>
      <c r="K601">
        <v>63.440509710000001</v>
      </c>
      <c r="L601">
        <v>0.72530270900000005</v>
      </c>
      <c r="M601">
        <v>4</v>
      </c>
      <c r="N601">
        <v>-0.76308626499999999</v>
      </c>
    </row>
    <row r="602" spans="1:14" x14ac:dyDescent="0.3">
      <c r="A602" t="s">
        <v>175</v>
      </c>
      <c r="B602">
        <v>151</v>
      </c>
      <c r="C602" t="s">
        <v>15</v>
      </c>
      <c r="D602" t="s">
        <v>23</v>
      </c>
      <c r="E602">
        <v>1</v>
      </c>
      <c r="F602" t="s">
        <v>24</v>
      </c>
      <c r="G602">
        <v>1</v>
      </c>
      <c r="H602" t="s">
        <v>18</v>
      </c>
      <c r="I602">
        <v>1</v>
      </c>
      <c r="J602">
        <v>50.605325780000001</v>
      </c>
      <c r="K602">
        <v>34.489490279999998</v>
      </c>
      <c r="L602">
        <v>0.65941044999999998</v>
      </c>
      <c r="M602">
        <v>1</v>
      </c>
      <c r="N602">
        <v>-0.34106698000000002</v>
      </c>
    </row>
    <row r="603" spans="1:14" x14ac:dyDescent="0.3">
      <c r="A603" t="s">
        <v>175</v>
      </c>
      <c r="B603">
        <v>151</v>
      </c>
      <c r="C603" t="s">
        <v>19</v>
      </c>
      <c r="D603" t="s">
        <v>23</v>
      </c>
      <c r="E603">
        <v>1</v>
      </c>
      <c r="F603" t="s">
        <v>24</v>
      </c>
      <c r="G603">
        <v>1</v>
      </c>
      <c r="H603" t="s">
        <v>18</v>
      </c>
      <c r="I603">
        <v>1</v>
      </c>
      <c r="J603">
        <v>50.605325780000001</v>
      </c>
      <c r="K603">
        <v>40.080562049999997</v>
      </c>
      <c r="L603">
        <v>0.10832557600000001</v>
      </c>
      <c r="M603">
        <v>2</v>
      </c>
      <c r="N603">
        <v>1.502424534</v>
      </c>
    </row>
    <row r="604" spans="1:14" x14ac:dyDescent="0.3">
      <c r="A604" t="s">
        <v>175</v>
      </c>
      <c r="B604">
        <v>151</v>
      </c>
      <c r="C604" t="s">
        <v>20</v>
      </c>
      <c r="D604" t="s">
        <v>23</v>
      </c>
      <c r="E604">
        <v>1</v>
      </c>
      <c r="F604" t="s">
        <v>24</v>
      </c>
      <c r="G604">
        <v>1</v>
      </c>
      <c r="H604" t="s">
        <v>18</v>
      </c>
      <c r="I604">
        <v>1</v>
      </c>
      <c r="J604">
        <v>50.605325780000001</v>
      </c>
      <c r="L604">
        <v>0.503125665</v>
      </c>
      <c r="M604">
        <v>3</v>
      </c>
      <c r="N604">
        <v>0.52830771200000004</v>
      </c>
    </row>
    <row r="605" spans="1:14" x14ac:dyDescent="0.3">
      <c r="A605" t="s">
        <v>175</v>
      </c>
      <c r="B605">
        <v>151</v>
      </c>
      <c r="C605" t="s">
        <v>21</v>
      </c>
      <c r="D605" t="s">
        <v>23</v>
      </c>
      <c r="E605">
        <v>1</v>
      </c>
      <c r="F605" t="s">
        <v>24</v>
      </c>
      <c r="G605">
        <v>1</v>
      </c>
      <c r="H605" t="s">
        <v>18</v>
      </c>
      <c r="I605">
        <v>1</v>
      </c>
      <c r="J605">
        <v>50.605325780000001</v>
      </c>
      <c r="K605">
        <v>47.465530180000002</v>
      </c>
      <c r="L605">
        <v>0.68484736800000001</v>
      </c>
      <c r="M605">
        <v>4</v>
      </c>
      <c r="N605">
        <v>0.54219135500000004</v>
      </c>
    </row>
    <row r="606" spans="1:14" x14ac:dyDescent="0.3">
      <c r="A606" t="s">
        <v>176</v>
      </c>
      <c r="B606">
        <v>152</v>
      </c>
      <c r="C606" t="s">
        <v>15</v>
      </c>
      <c r="D606" t="s">
        <v>16</v>
      </c>
      <c r="E606">
        <v>2</v>
      </c>
      <c r="F606" t="s">
        <v>24</v>
      </c>
      <c r="G606">
        <v>1</v>
      </c>
      <c r="H606" t="s">
        <v>18</v>
      </c>
      <c r="I606">
        <v>1</v>
      </c>
      <c r="J606">
        <v>41.799866569999999</v>
      </c>
      <c r="L606">
        <v>0.36382241799999998</v>
      </c>
      <c r="M606">
        <v>1</v>
      </c>
      <c r="N606">
        <v>-0.136673356</v>
      </c>
    </row>
    <row r="607" spans="1:14" x14ac:dyDescent="0.3">
      <c r="A607" t="s">
        <v>176</v>
      </c>
      <c r="B607">
        <v>152</v>
      </c>
      <c r="C607" t="s">
        <v>19</v>
      </c>
      <c r="D607" t="s">
        <v>16</v>
      </c>
      <c r="E607">
        <v>2</v>
      </c>
      <c r="F607" t="s">
        <v>24</v>
      </c>
      <c r="G607">
        <v>1</v>
      </c>
      <c r="H607" t="s">
        <v>18</v>
      </c>
      <c r="I607">
        <v>1</v>
      </c>
      <c r="J607">
        <v>41.799866569999999</v>
      </c>
      <c r="K607">
        <v>37.11696843</v>
      </c>
      <c r="L607">
        <v>0.75639931599999999</v>
      </c>
      <c r="M607">
        <v>2</v>
      </c>
      <c r="N607">
        <v>-1.136733853</v>
      </c>
    </row>
    <row r="608" spans="1:14" x14ac:dyDescent="0.3">
      <c r="A608" t="s">
        <v>176</v>
      </c>
      <c r="B608">
        <v>152</v>
      </c>
      <c r="C608" t="s">
        <v>20</v>
      </c>
      <c r="D608" t="s">
        <v>16</v>
      </c>
      <c r="E608">
        <v>2</v>
      </c>
      <c r="F608" t="s">
        <v>24</v>
      </c>
      <c r="G608">
        <v>1</v>
      </c>
      <c r="H608" t="s">
        <v>18</v>
      </c>
      <c r="I608">
        <v>1</v>
      </c>
      <c r="J608">
        <v>41.799866569999999</v>
      </c>
      <c r="L608">
        <v>0.80786493999999998</v>
      </c>
      <c r="M608">
        <v>3</v>
      </c>
      <c r="N608">
        <v>-1.496627154</v>
      </c>
    </row>
    <row r="609" spans="1:14" x14ac:dyDescent="0.3">
      <c r="A609" t="s">
        <v>176</v>
      </c>
      <c r="B609">
        <v>152</v>
      </c>
      <c r="C609" t="s">
        <v>21</v>
      </c>
      <c r="D609" t="s">
        <v>16</v>
      </c>
      <c r="E609">
        <v>2</v>
      </c>
      <c r="F609" t="s">
        <v>24</v>
      </c>
      <c r="G609">
        <v>1</v>
      </c>
      <c r="H609" t="s">
        <v>18</v>
      </c>
      <c r="I609">
        <v>1</v>
      </c>
      <c r="J609">
        <v>41.799866569999999</v>
      </c>
      <c r="K609">
        <v>36.251199440000001</v>
      </c>
      <c r="L609">
        <v>0.78477756499999995</v>
      </c>
      <c r="M609">
        <v>4</v>
      </c>
      <c r="N609">
        <v>-0.22338564399999999</v>
      </c>
    </row>
    <row r="610" spans="1:14" x14ac:dyDescent="0.3">
      <c r="A610" t="s">
        <v>177</v>
      </c>
      <c r="B610">
        <v>153</v>
      </c>
      <c r="C610" t="s">
        <v>15</v>
      </c>
      <c r="D610" t="s">
        <v>23</v>
      </c>
      <c r="E610">
        <v>1</v>
      </c>
      <c r="F610" t="s">
        <v>17</v>
      </c>
      <c r="G610">
        <v>2</v>
      </c>
      <c r="H610" t="s">
        <v>25</v>
      </c>
      <c r="I610">
        <v>0</v>
      </c>
      <c r="J610">
        <v>37.316621040000001</v>
      </c>
      <c r="K610">
        <v>29.201705260000001</v>
      </c>
      <c r="L610">
        <v>0.46259552799999998</v>
      </c>
      <c r="M610">
        <v>1</v>
      </c>
      <c r="N610">
        <v>2.0017192279999998</v>
      </c>
    </row>
    <row r="611" spans="1:14" x14ac:dyDescent="0.3">
      <c r="A611" t="s">
        <v>177</v>
      </c>
      <c r="B611">
        <v>153</v>
      </c>
      <c r="C611" t="s">
        <v>19</v>
      </c>
      <c r="D611" t="s">
        <v>23</v>
      </c>
      <c r="E611">
        <v>1</v>
      </c>
      <c r="F611" t="s">
        <v>17</v>
      </c>
      <c r="G611">
        <v>2</v>
      </c>
      <c r="H611" t="s">
        <v>25</v>
      </c>
      <c r="I611">
        <v>0</v>
      </c>
      <c r="J611">
        <v>37.316621040000001</v>
      </c>
      <c r="K611">
        <v>31.537725139999999</v>
      </c>
      <c r="L611">
        <v>0.47630434199999999</v>
      </c>
      <c r="M611">
        <v>2</v>
      </c>
      <c r="N611">
        <v>0.221703816</v>
      </c>
    </row>
    <row r="612" spans="1:14" x14ac:dyDescent="0.3">
      <c r="A612" t="s">
        <v>177</v>
      </c>
      <c r="B612">
        <v>153</v>
      </c>
      <c r="C612" t="s">
        <v>20</v>
      </c>
      <c r="D612" t="s">
        <v>23</v>
      </c>
      <c r="E612">
        <v>1</v>
      </c>
      <c r="F612" t="s">
        <v>17</v>
      </c>
      <c r="G612">
        <v>2</v>
      </c>
      <c r="H612" t="s">
        <v>25</v>
      </c>
      <c r="I612">
        <v>0</v>
      </c>
      <c r="J612">
        <v>37.316621040000001</v>
      </c>
      <c r="K612">
        <v>42.356827010000003</v>
      </c>
      <c r="L612">
        <v>0.51219183800000001</v>
      </c>
      <c r="M612">
        <v>3</v>
      </c>
      <c r="N612">
        <v>0.16437290900000001</v>
      </c>
    </row>
    <row r="613" spans="1:14" x14ac:dyDescent="0.3">
      <c r="A613" t="s">
        <v>177</v>
      </c>
      <c r="B613">
        <v>153</v>
      </c>
      <c r="C613" t="s">
        <v>21</v>
      </c>
      <c r="D613" t="s">
        <v>23</v>
      </c>
      <c r="E613">
        <v>1</v>
      </c>
      <c r="F613" t="s">
        <v>17</v>
      </c>
      <c r="G613">
        <v>2</v>
      </c>
      <c r="H613" t="s">
        <v>25</v>
      </c>
      <c r="I613">
        <v>0</v>
      </c>
      <c r="J613">
        <v>37.316621040000001</v>
      </c>
      <c r="K613">
        <v>64.783524589999999</v>
      </c>
      <c r="L613">
        <v>0.23107406</v>
      </c>
      <c r="M613">
        <v>4</v>
      </c>
      <c r="N613">
        <v>0.33262360899999999</v>
      </c>
    </row>
    <row r="614" spans="1:14" x14ac:dyDescent="0.3">
      <c r="A614" t="s">
        <v>178</v>
      </c>
      <c r="B614">
        <v>154</v>
      </c>
      <c r="C614" t="s">
        <v>15</v>
      </c>
      <c r="D614" t="s">
        <v>23</v>
      </c>
      <c r="E614">
        <v>1</v>
      </c>
      <c r="F614" t="s">
        <v>17</v>
      </c>
      <c r="G614">
        <v>2</v>
      </c>
      <c r="H614" t="s">
        <v>18</v>
      </c>
      <c r="I614">
        <v>1</v>
      </c>
      <c r="J614">
        <v>43.013754769999998</v>
      </c>
      <c r="K614">
        <v>32.727572299999999</v>
      </c>
      <c r="L614">
        <v>0.80713480699999995</v>
      </c>
      <c r="M614">
        <v>1</v>
      </c>
      <c r="N614">
        <v>-0.38520799900000002</v>
      </c>
    </row>
    <row r="615" spans="1:14" x14ac:dyDescent="0.3">
      <c r="A615" t="s">
        <v>178</v>
      </c>
      <c r="B615">
        <v>154</v>
      </c>
      <c r="C615" t="s">
        <v>19</v>
      </c>
      <c r="D615" t="s">
        <v>23</v>
      </c>
      <c r="E615">
        <v>1</v>
      </c>
      <c r="F615" t="s">
        <v>17</v>
      </c>
      <c r="G615">
        <v>2</v>
      </c>
      <c r="H615" t="s">
        <v>18</v>
      </c>
      <c r="I615">
        <v>1</v>
      </c>
      <c r="J615">
        <v>43.013754769999998</v>
      </c>
      <c r="K615">
        <v>37.500220929999998</v>
      </c>
      <c r="L615">
        <v>0.26051419300000001</v>
      </c>
      <c r="M615">
        <v>2</v>
      </c>
      <c r="N615">
        <v>-1.3987540270000001</v>
      </c>
    </row>
    <row r="616" spans="1:14" x14ac:dyDescent="0.3">
      <c r="A616" t="s">
        <v>178</v>
      </c>
      <c r="B616">
        <v>154</v>
      </c>
      <c r="C616" t="s">
        <v>20</v>
      </c>
      <c r="D616" t="s">
        <v>23</v>
      </c>
      <c r="E616">
        <v>1</v>
      </c>
      <c r="F616" t="s">
        <v>17</v>
      </c>
      <c r="G616">
        <v>2</v>
      </c>
      <c r="H616" t="s">
        <v>18</v>
      </c>
      <c r="I616">
        <v>1</v>
      </c>
      <c r="J616">
        <v>43.013754769999998</v>
      </c>
      <c r="L616">
        <v>0.60764896099999999</v>
      </c>
      <c r="M616">
        <v>3</v>
      </c>
      <c r="N616">
        <v>2.6757407959999999</v>
      </c>
    </row>
    <row r="617" spans="1:14" x14ac:dyDescent="0.3">
      <c r="A617" t="s">
        <v>178</v>
      </c>
      <c r="B617">
        <v>154</v>
      </c>
      <c r="C617" t="s">
        <v>21</v>
      </c>
      <c r="D617" t="s">
        <v>23</v>
      </c>
      <c r="E617">
        <v>1</v>
      </c>
      <c r="F617" t="s">
        <v>17</v>
      </c>
      <c r="G617">
        <v>2</v>
      </c>
      <c r="H617" t="s">
        <v>18</v>
      </c>
      <c r="I617">
        <v>1</v>
      </c>
      <c r="J617">
        <v>43.013754769999998</v>
      </c>
      <c r="K617">
        <v>57.038614850000002</v>
      </c>
      <c r="L617">
        <v>0.13539910599999999</v>
      </c>
      <c r="M617">
        <v>4</v>
      </c>
      <c r="N617">
        <v>-0.42368608899999999</v>
      </c>
    </row>
    <row r="618" spans="1:14" x14ac:dyDescent="0.3">
      <c r="A618" t="s">
        <v>179</v>
      </c>
      <c r="B618">
        <v>155</v>
      </c>
      <c r="C618" t="s">
        <v>15</v>
      </c>
      <c r="D618" t="s">
        <v>16</v>
      </c>
      <c r="E618">
        <v>2</v>
      </c>
      <c r="F618" t="s">
        <v>24</v>
      </c>
      <c r="G618">
        <v>1</v>
      </c>
      <c r="H618" t="s">
        <v>25</v>
      </c>
      <c r="I618">
        <v>0</v>
      </c>
      <c r="J618">
        <v>45.220753960000003</v>
      </c>
      <c r="K618">
        <v>36.324751220000003</v>
      </c>
      <c r="L618">
        <v>0.396840213</v>
      </c>
      <c r="M618">
        <v>1</v>
      </c>
      <c r="N618">
        <v>-0.29860151200000001</v>
      </c>
    </row>
    <row r="619" spans="1:14" x14ac:dyDescent="0.3">
      <c r="A619" t="s">
        <v>179</v>
      </c>
      <c r="B619">
        <v>155</v>
      </c>
      <c r="C619" t="s">
        <v>19</v>
      </c>
      <c r="D619" t="s">
        <v>16</v>
      </c>
      <c r="E619">
        <v>2</v>
      </c>
      <c r="F619" t="s">
        <v>24</v>
      </c>
      <c r="G619">
        <v>1</v>
      </c>
      <c r="H619" t="s">
        <v>25</v>
      </c>
      <c r="I619">
        <v>0</v>
      </c>
      <c r="J619">
        <v>45.220753960000003</v>
      </c>
      <c r="L619">
        <v>0.58306644699999999</v>
      </c>
      <c r="M619">
        <v>2</v>
      </c>
      <c r="N619">
        <v>-1.7923417269999999</v>
      </c>
    </row>
    <row r="620" spans="1:14" x14ac:dyDescent="0.3">
      <c r="A620" t="s">
        <v>179</v>
      </c>
      <c r="B620">
        <v>155</v>
      </c>
      <c r="C620" t="s">
        <v>20</v>
      </c>
      <c r="D620" t="s">
        <v>16</v>
      </c>
      <c r="E620">
        <v>2</v>
      </c>
      <c r="F620" t="s">
        <v>24</v>
      </c>
      <c r="G620">
        <v>1</v>
      </c>
      <c r="H620" t="s">
        <v>25</v>
      </c>
      <c r="I620">
        <v>0</v>
      </c>
      <c r="J620">
        <v>45.220753960000003</v>
      </c>
      <c r="K620">
        <v>41.467253130000003</v>
      </c>
      <c r="L620">
        <v>0.86210010500000001</v>
      </c>
      <c r="M620">
        <v>3</v>
      </c>
      <c r="N620">
        <v>-0.248008225</v>
      </c>
    </row>
    <row r="621" spans="1:14" x14ac:dyDescent="0.3">
      <c r="A621" t="s">
        <v>179</v>
      </c>
      <c r="B621">
        <v>155</v>
      </c>
      <c r="C621" t="s">
        <v>21</v>
      </c>
      <c r="D621" t="s">
        <v>16</v>
      </c>
      <c r="E621">
        <v>2</v>
      </c>
      <c r="F621" t="s">
        <v>24</v>
      </c>
      <c r="G621">
        <v>1</v>
      </c>
      <c r="H621" t="s">
        <v>25</v>
      </c>
      <c r="I621">
        <v>0</v>
      </c>
      <c r="J621">
        <v>45.220753960000003</v>
      </c>
      <c r="K621">
        <v>59.014108950000001</v>
      </c>
      <c r="L621">
        <v>0.27188629399999997</v>
      </c>
      <c r="M621">
        <v>4</v>
      </c>
      <c r="N621">
        <v>-0.24730391800000001</v>
      </c>
    </row>
    <row r="622" spans="1:14" x14ac:dyDescent="0.3">
      <c r="A622" t="s">
        <v>180</v>
      </c>
      <c r="B622">
        <v>156</v>
      </c>
      <c r="C622" t="s">
        <v>15</v>
      </c>
      <c r="D622" t="s">
        <v>23</v>
      </c>
      <c r="E622">
        <v>1</v>
      </c>
      <c r="F622" t="s">
        <v>33</v>
      </c>
      <c r="G622">
        <v>3</v>
      </c>
      <c r="H622" t="s">
        <v>25</v>
      </c>
      <c r="I622">
        <v>0</v>
      </c>
      <c r="J622">
        <v>38.321849669999999</v>
      </c>
      <c r="K622">
        <v>30.149703339999999</v>
      </c>
      <c r="L622">
        <v>0.24343535899999999</v>
      </c>
      <c r="M622">
        <v>1</v>
      </c>
      <c r="N622">
        <v>-0.25551037900000001</v>
      </c>
    </row>
    <row r="623" spans="1:14" x14ac:dyDescent="0.3">
      <c r="A623" t="s">
        <v>180</v>
      </c>
      <c r="B623">
        <v>156</v>
      </c>
      <c r="C623" t="s">
        <v>19</v>
      </c>
      <c r="D623" t="s">
        <v>23</v>
      </c>
      <c r="E623">
        <v>1</v>
      </c>
      <c r="F623" t="s">
        <v>33</v>
      </c>
      <c r="G623">
        <v>3</v>
      </c>
      <c r="H623" t="s">
        <v>25</v>
      </c>
      <c r="I623">
        <v>0</v>
      </c>
      <c r="J623">
        <v>38.321849669999999</v>
      </c>
      <c r="K623">
        <v>34.917399889999999</v>
      </c>
      <c r="L623">
        <v>0.79357701700000005</v>
      </c>
      <c r="M623">
        <v>2</v>
      </c>
      <c r="N623">
        <v>-1.7869381</v>
      </c>
    </row>
    <row r="624" spans="1:14" x14ac:dyDescent="0.3">
      <c r="A624" t="s">
        <v>180</v>
      </c>
      <c r="B624">
        <v>156</v>
      </c>
      <c r="C624" t="s">
        <v>20</v>
      </c>
      <c r="D624" t="s">
        <v>23</v>
      </c>
      <c r="E624">
        <v>1</v>
      </c>
      <c r="F624" t="s">
        <v>33</v>
      </c>
      <c r="G624">
        <v>3</v>
      </c>
      <c r="H624" t="s">
        <v>25</v>
      </c>
      <c r="I624">
        <v>0</v>
      </c>
      <c r="J624">
        <v>38.321849669999999</v>
      </c>
      <c r="K624">
        <v>52.138999310000003</v>
      </c>
      <c r="L624">
        <v>0.472011925</v>
      </c>
      <c r="M624">
        <v>3</v>
      </c>
      <c r="N624">
        <v>1.784662816</v>
      </c>
    </row>
    <row r="625" spans="1:14" x14ac:dyDescent="0.3">
      <c r="A625" t="s">
        <v>180</v>
      </c>
      <c r="B625">
        <v>156</v>
      </c>
      <c r="C625" t="s">
        <v>21</v>
      </c>
      <c r="D625" t="s">
        <v>23</v>
      </c>
      <c r="E625">
        <v>1</v>
      </c>
      <c r="F625" t="s">
        <v>33</v>
      </c>
      <c r="G625">
        <v>3</v>
      </c>
      <c r="H625" t="s">
        <v>25</v>
      </c>
      <c r="I625">
        <v>0</v>
      </c>
      <c r="J625">
        <v>38.321849669999999</v>
      </c>
      <c r="K625">
        <v>58.738392879999999</v>
      </c>
      <c r="L625">
        <v>0.28155794499999998</v>
      </c>
      <c r="M625">
        <v>4</v>
      </c>
      <c r="N625">
        <v>1.763586348</v>
      </c>
    </row>
    <row r="626" spans="1:14" x14ac:dyDescent="0.3">
      <c r="A626" t="s">
        <v>181</v>
      </c>
      <c r="B626">
        <v>157</v>
      </c>
      <c r="C626" t="s">
        <v>15</v>
      </c>
      <c r="D626" t="s">
        <v>16</v>
      </c>
      <c r="E626">
        <v>2</v>
      </c>
      <c r="F626" t="s">
        <v>17</v>
      </c>
      <c r="G626">
        <v>2</v>
      </c>
      <c r="H626" t="s">
        <v>25</v>
      </c>
      <c r="I626">
        <v>0</v>
      </c>
      <c r="J626">
        <v>44.796059319999998</v>
      </c>
      <c r="K626">
        <v>35.831845080000001</v>
      </c>
      <c r="L626">
        <v>0.82530520900000004</v>
      </c>
      <c r="M626">
        <v>1</v>
      </c>
      <c r="N626">
        <v>0.68960022200000004</v>
      </c>
    </row>
    <row r="627" spans="1:14" x14ac:dyDescent="0.3">
      <c r="A627" t="s">
        <v>181</v>
      </c>
      <c r="B627">
        <v>157</v>
      </c>
      <c r="C627" t="s">
        <v>19</v>
      </c>
      <c r="D627" t="s">
        <v>16</v>
      </c>
      <c r="E627">
        <v>2</v>
      </c>
      <c r="F627" t="s">
        <v>17</v>
      </c>
      <c r="G627">
        <v>2</v>
      </c>
      <c r="H627" t="s">
        <v>25</v>
      </c>
      <c r="I627">
        <v>0</v>
      </c>
      <c r="J627">
        <v>44.796059319999998</v>
      </c>
      <c r="L627">
        <v>0.87767430199999996</v>
      </c>
      <c r="M627">
        <v>2</v>
      </c>
      <c r="N627">
        <v>-1.100740644</v>
      </c>
    </row>
    <row r="628" spans="1:14" x14ac:dyDescent="0.3">
      <c r="A628" t="s">
        <v>181</v>
      </c>
      <c r="B628">
        <v>157</v>
      </c>
      <c r="C628" t="s">
        <v>20</v>
      </c>
      <c r="D628" t="s">
        <v>16</v>
      </c>
      <c r="E628">
        <v>2</v>
      </c>
      <c r="F628" t="s">
        <v>17</v>
      </c>
      <c r="G628">
        <v>2</v>
      </c>
      <c r="H628" t="s">
        <v>25</v>
      </c>
      <c r="I628">
        <v>0</v>
      </c>
      <c r="J628">
        <v>44.796059319999998</v>
      </c>
      <c r="L628">
        <v>0.86660403200000002</v>
      </c>
      <c r="M628">
        <v>3</v>
      </c>
      <c r="N628">
        <v>0.71450935699999996</v>
      </c>
    </row>
    <row r="629" spans="1:14" x14ac:dyDescent="0.3">
      <c r="A629" t="s">
        <v>181</v>
      </c>
      <c r="B629">
        <v>157</v>
      </c>
      <c r="C629" t="s">
        <v>21</v>
      </c>
      <c r="D629" t="s">
        <v>16</v>
      </c>
      <c r="E629">
        <v>2</v>
      </c>
      <c r="F629" t="s">
        <v>17</v>
      </c>
      <c r="G629">
        <v>2</v>
      </c>
      <c r="H629" t="s">
        <v>25</v>
      </c>
      <c r="I629">
        <v>0</v>
      </c>
      <c r="J629">
        <v>44.796059319999998</v>
      </c>
      <c r="K629">
        <v>56.414090899999998</v>
      </c>
      <c r="L629">
        <v>0.53815465600000001</v>
      </c>
      <c r="M629">
        <v>4</v>
      </c>
      <c r="N629">
        <v>-0.24647031699999999</v>
      </c>
    </row>
    <row r="630" spans="1:14" x14ac:dyDescent="0.3">
      <c r="A630" t="s">
        <v>182</v>
      </c>
      <c r="B630">
        <v>158</v>
      </c>
      <c r="C630" t="s">
        <v>15</v>
      </c>
      <c r="D630" t="s">
        <v>16</v>
      </c>
      <c r="E630">
        <v>2</v>
      </c>
      <c r="F630" t="s">
        <v>17</v>
      </c>
      <c r="G630">
        <v>2</v>
      </c>
      <c r="H630" t="s">
        <v>25</v>
      </c>
      <c r="I630">
        <v>0</v>
      </c>
      <c r="J630">
        <v>54.607363100000001</v>
      </c>
      <c r="L630">
        <v>0.88777109700000001</v>
      </c>
      <c r="M630">
        <v>1</v>
      </c>
      <c r="N630">
        <v>-0.31978616599999998</v>
      </c>
    </row>
    <row r="631" spans="1:14" x14ac:dyDescent="0.3">
      <c r="A631" t="s">
        <v>182</v>
      </c>
      <c r="B631">
        <v>158</v>
      </c>
      <c r="C631" t="s">
        <v>19</v>
      </c>
      <c r="D631" t="s">
        <v>16</v>
      </c>
      <c r="E631">
        <v>2</v>
      </c>
      <c r="F631" t="s">
        <v>17</v>
      </c>
      <c r="G631">
        <v>2</v>
      </c>
      <c r="H631" t="s">
        <v>25</v>
      </c>
      <c r="I631">
        <v>0</v>
      </c>
      <c r="J631">
        <v>54.607363100000001</v>
      </c>
      <c r="K631">
        <v>43.555932990000002</v>
      </c>
      <c r="L631">
        <v>0.37881808</v>
      </c>
      <c r="M631">
        <v>2</v>
      </c>
      <c r="N631">
        <v>1.362644293</v>
      </c>
    </row>
    <row r="632" spans="1:14" x14ac:dyDescent="0.3">
      <c r="A632" t="s">
        <v>182</v>
      </c>
      <c r="B632">
        <v>158</v>
      </c>
      <c r="C632" t="s">
        <v>20</v>
      </c>
      <c r="D632" t="s">
        <v>16</v>
      </c>
      <c r="E632">
        <v>2</v>
      </c>
      <c r="F632" t="s">
        <v>17</v>
      </c>
      <c r="G632">
        <v>2</v>
      </c>
      <c r="H632" t="s">
        <v>25</v>
      </c>
      <c r="I632">
        <v>0</v>
      </c>
      <c r="J632">
        <v>54.607363100000001</v>
      </c>
      <c r="K632">
        <v>44.26320072</v>
      </c>
      <c r="L632">
        <v>0.40088223200000001</v>
      </c>
      <c r="M632">
        <v>3</v>
      </c>
      <c r="N632">
        <v>-1.2278825900000001</v>
      </c>
    </row>
    <row r="633" spans="1:14" x14ac:dyDescent="0.3">
      <c r="A633" t="s">
        <v>182</v>
      </c>
      <c r="B633">
        <v>158</v>
      </c>
      <c r="C633" t="s">
        <v>21</v>
      </c>
      <c r="D633" t="s">
        <v>16</v>
      </c>
      <c r="E633">
        <v>2</v>
      </c>
      <c r="F633" t="s">
        <v>17</v>
      </c>
      <c r="G633">
        <v>2</v>
      </c>
      <c r="H633" t="s">
        <v>25</v>
      </c>
      <c r="I633">
        <v>0</v>
      </c>
      <c r="J633">
        <v>54.607363100000001</v>
      </c>
      <c r="K633">
        <v>59.255791199999997</v>
      </c>
      <c r="L633">
        <v>0.43623205100000001</v>
      </c>
      <c r="M633">
        <v>4</v>
      </c>
      <c r="N633">
        <v>-0.51121923300000005</v>
      </c>
    </row>
    <row r="634" spans="1:14" x14ac:dyDescent="0.3">
      <c r="A634" t="s">
        <v>183</v>
      </c>
      <c r="B634">
        <v>159</v>
      </c>
      <c r="C634" t="s">
        <v>15</v>
      </c>
      <c r="D634" t="s">
        <v>16</v>
      </c>
      <c r="E634">
        <v>2</v>
      </c>
      <c r="F634" t="s">
        <v>24</v>
      </c>
      <c r="G634">
        <v>1</v>
      </c>
      <c r="H634" t="s">
        <v>18</v>
      </c>
      <c r="I634">
        <v>1</v>
      </c>
      <c r="J634">
        <v>46.641110279999999</v>
      </c>
      <c r="K634">
        <v>28.473144179999998</v>
      </c>
      <c r="L634">
        <v>0.32609052199999999</v>
      </c>
      <c r="M634">
        <v>1</v>
      </c>
      <c r="N634">
        <v>-0.73119499899999996</v>
      </c>
    </row>
    <row r="635" spans="1:14" x14ac:dyDescent="0.3">
      <c r="A635" t="s">
        <v>183</v>
      </c>
      <c r="B635">
        <v>159</v>
      </c>
      <c r="C635" t="s">
        <v>19</v>
      </c>
      <c r="D635" t="s">
        <v>16</v>
      </c>
      <c r="E635">
        <v>2</v>
      </c>
      <c r="F635" t="s">
        <v>24</v>
      </c>
      <c r="G635">
        <v>1</v>
      </c>
      <c r="H635" t="s">
        <v>18</v>
      </c>
      <c r="I635">
        <v>1</v>
      </c>
      <c r="J635">
        <v>46.641110279999999</v>
      </c>
      <c r="K635">
        <v>47.475807850000002</v>
      </c>
      <c r="L635">
        <v>0.153215989</v>
      </c>
      <c r="M635">
        <v>2</v>
      </c>
      <c r="N635">
        <v>1.9752006999999999E-2</v>
      </c>
    </row>
    <row r="636" spans="1:14" x14ac:dyDescent="0.3">
      <c r="A636" t="s">
        <v>183</v>
      </c>
      <c r="B636">
        <v>159</v>
      </c>
      <c r="C636" t="s">
        <v>20</v>
      </c>
      <c r="D636" t="s">
        <v>16</v>
      </c>
      <c r="E636">
        <v>2</v>
      </c>
      <c r="F636" t="s">
        <v>24</v>
      </c>
      <c r="G636">
        <v>1</v>
      </c>
      <c r="H636" t="s">
        <v>18</v>
      </c>
      <c r="I636">
        <v>1</v>
      </c>
      <c r="J636">
        <v>46.641110279999999</v>
      </c>
      <c r="L636">
        <v>0.16384732399999999</v>
      </c>
      <c r="M636">
        <v>3</v>
      </c>
      <c r="N636">
        <v>-1.5728639149999999</v>
      </c>
    </row>
    <row r="637" spans="1:14" x14ac:dyDescent="0.3">
      <c r="A637" t="s">
        <v>183</v>
      </c>
      <c r="B637">
        <v>159</v>
      </c>
      <c r="C637" t="s">
        <v>21</v>
      </c>
      <c r="D637" t="s">
        <v>16</v>
      </c>
      <c r="E637">
        <v>2</v>
      </c>
      <c r="F637" t="s">
        <v>24</v>
      </c>
      <c r="G637">
        <v>1</v>
      </c>
      <c r="H637" t="s">
        <v>18</v>
      </c>
      <c r="I637">
        <v>1</v>
      </c>
      <c r="J637">
        <v>46.641110279999999</v>
      </c>
      <c r="L637">
        <v>0.44623510700000002</v>
      </c>
      <c r="M637">
        <v>4</v>
      </c>
      <c r="N637">
        <v>-0.70333327000000001</v>
      </c>
    </row>
    <row r="638" spans="1:14" x14ac:dyDescent="0.3">
      <c r="A638" t="s">
        <v>184</v>
      </c>
      <c r="B638">
        <v>160</v>
      </c>
      <c r="C638" t="s">
        <v>15</v>
      </c>
      <c r="D638" t="s">
        <v>16</v>
      </c>
      <c r="E638">
        <v>2</v>
      </c>
      <c r="F638" t="s">
        <v>24</v>
      </c>
      <c r="G638">
        <v>1</v>
      </c>
      <c r="H638" t="s">
        <v>25</v>
      </c>
      <c r="I638">
        <v>0</v>
      </c>
      <c r="J638">
        <v>44.732231800000001</v>
      </c>
      <c r="L638">
        <v>0.89066490499999995</v>
      </c>
      <c r="M638">
        <v>1</v>
      </c>
      <c r="N638">
        <v>0.71593208900000005</v>
      </c>
    </row>
    <row r="639" spans="1:14" x14ac:dyDescent="0.3">
      <c r="A639" t="s">
        <v>184</v>
      </c>
      <c r="B639">
        <v>160</v>
      </c>
      <c r="C639" t="s">
        <v>19</v>
      </c>
      <c r="D639" t="s">
        <v>16</v>
      </c>
      <c r="E639">
        <v>2</v>
      </c>
      <c r="F639" t="s">
        <v>24</v>
      </c>
      <c r="G639">
        <v>1</v>
      </c>
      <c r="H639" t="s">
        <v>25</v>
      </c>
      <c r="I639">
        <v>0</v>
      </c>
      <c r="J639">
        <v>44.732231800000001</v>
      </c>
      <c r="K639">
        <v>46.47483098</v>
      </c>
      <c r="L639">
        <v>0.190394332</v>
      </c>
      <c r="M639">
        <v>2</v>
      </c>
      <c r="N639">
        <v>0.46521490599999998</v>
      </c>
    </row>
    <row r="640" spans="1:14" x14ac:dyDescent="0.3">
      <c r="A640" t="s">
        <v>184</v>
      </c>
      <c r="B640">
        <v>160</v>
      </c>
      <c r="C640" t="s">
        <v>20</v>
      </c>
      <c r="D640" t="s">
        <v>16</v>
      </c>
      <c r="E640">
        <v>2</v>
      </c>
      <c r="F640" t="s">
        <v>24</v>
      </c>
      <c r="G640">
        <v>1</v>
      </c>
      <c r="H640" t="s">
        <v>25</v>
      </c>
      <c r="I640">
        <v>0</v>
      </c>
      <c r="J640">
        <v>44.732231800000001</v>
      </c>
      <c r="K640">
        <v>51.226770330000001</v>
      </c>
      <c r="L640">
        <v>0.27631740900000001</v>
      </c>
      <c r="M640">
        <v>3</v>
      </c>
      <c r="N640">
        <v>-0.97390230600000005</v>
      </c>
    </row>
    <row r="641" spans="1:14" x14ac:dyDescent="0.3">
      <c r="A641" t="s">
        <v>184</v>
      </c>
      <c r="B641">
        <v>160</v>
      </c>
      <c r="C641" t="s">
        <v>21</v>
      </c>
      <c r="D641" t="s">
        <v>16</v>
      </c>
      <c r="E641">
        <v>2</v>
      </c>
      <c r="F641" t="s">
        <v>24</v>
      </c>
      <c r="G641">
        <v>1</v>
      </c>
      <c r="H641" t="s">
        <v>25</v>
      </c>
      <c r="I641">
        <v>0</v>
      </c>
      <c r="J641">
        <v>44.732231800000001</v>
      </c>
      <c r="K641">
        <v>45.827765919999997</v>
      </c>
      <c r="L641">
        <v>0.27625163400000002</v>
      </c>
      <c r="M641">
        <v>4</v>
      </c>
      <c r="N641">
        <v>0.55921772999999997</v>
      </c>
    </row>
    <row r="642" spans="1:14" x14ac:dyDescent="0.3">
      <c r="A642" t="s">
        <v>185</v>
      </c>
      <c r="B642">
        <v>161</v>
      </c>
      <c r="C642" t="s">
        <v>15</v>
      </c>
      <c r="D642" t="s">
        <v>23</v>
      </c>
      <c r="E642">
        <v>1</v>
      </c>
      <c r="F642" t="s">
        <v>17</v>
      </c>
      <c r="G642">
        <v>2</v>
      </c>
      <c r="H642" t="s">
        <v>18</v>
      </c>
      <c r="I642">
        <v>1</v>
      </c>
      <c r="J642">
        <v>24.037995500000001</v>
      </c>
      <c r="L642">
        <v>0.61851556799999996</v>
      </c>
      <c r="M642">
        <v>1</v>
      </c>
      <c r="N642">
        <v>-2.4326397449999999</v>
      </c>
    </row>
    <row r="643" spans="1:14" x14ac:dyDescent="0.3">
      <c r="A643" t="s">
        <v>185</v>
      </c>
      <c r="B643">
        <v>161</v>
      </c>
      <c r="C643" t="s">
        <v>19</v>
      </c>
      <c r="D643" t="s">
        <v>23</v>
      </c>
      <c r="E643">
        <v>1</v>
      </c>
      <c r="F643" t="s">
        <v>17</v>
      </c>
      <c r="G643">
        <v>2</v>
      </c>
      <c r="H643" t="s">
        <v>18</v>
      </c>
      <c r="I643">
        <v>1</v>
      </c>
      <c r="J643">
        <v>24.037995500000001</v>
      </c>
      <c r="K643">
        <v>39.067827200000004</v>
      </c>
      <c r="L643">
        <v>0.50742444099999995</v>
      </c>
      <c r="M643">
        <v>2</v>
      </c>
      <c r="N643">
        <v>-0.34048492699999999</v>
      </c>
    </row>
    <row r="644" spans="1:14" x14ac:dyDescent="0.3">
      <c r="A644" t="s">
        <v>185</v>
      </c>
      <c r="B644">
        <v>161</v>
      </c>
      <c r="C644" t="s">
        <v>20</v>
      </c>
      <c r="D644" t="s">
        <v>23</v>
      </c>
      <c r="E644">
        <v>1</v>
      </c>
      <c r="F644" t="s">
        <v>17</v>
      </c>
      <c r="G644">
        <v>2</v>
      </c>
      <c r="H644" t="s">
        <v>18</v>
      </c>
      <c r="I644">
        <v>1</v>
      </c>
      <c r="J644">
        <v>24.037995500000001</v>
      </c>
      <c r="L644">
        <v>0.68196475300000003</v>
      </c>
      <c r="M644">
        <v>3</v>
      </c>
      <c r="N644">
        <v>0.71303319499999995</v>
      </c>
    </row>
    <row r="645" spans="1:14" x14ac:dyDescent="0.3">
      <c r="A645" t="s">
        <v>185</v>
      </c>
      <c r="B645">
        <v>161</v>
      </c>
      <c r="C645" t="s">
        <v>21</v>
      </c>
      <c r="D645" t="s">
        <v>23</v>
      </c>
      <c r="E645">
        <v>1</v>
      </c>
      <c r="F645" t="s">
        <v>17</v>
      </c>
      <c r="G645">
        <v>2</v>
      </c>
      <c r="H645" t="s">
        <v>18</v>
      </c>
      <c r="I645">
        <v>1</v>
      </c>
      <c r="J645">
        <v>24.037995500000001</v>
      </c>
      <c r="L645">
        <v>0.35275756800000002</v>
      </c>
      <c r="M645">
        <v>4</v>
      </c>
      <c r="N645">
        <v>-0.65903738599999995</v>
      </c>
    </row>
    <row r="646" spans="1:14" x14ac:dyDescent="0.3">
      <c r="A646" t="s">
        <v>186</v>
      </c>
      <c r="B646">
        <v>162</v>
      </c>
      <c r="C646" t="s">
        <v>15</v>
      </c>
      <c r="D646" t="s">
        <v>23</v>
      </c>
      <c r="E646">
        <v>1</v>
      </c>
      <c r="F646" t="s">
        <v>24</v>
      </c>
      <c r="G646">
        <v>1</v>
      </c>
      <c r="H646" t="s">
        <v>25</v>
      </c>
      <c r="I646">
        <v>0</v>
      </c>
      <c r="J646">
        <v>47.69516754</v>
      </c>
      <c r="K646">
        <v>29.995422250000001</v>
      </c>
      <c r="L646">
        <v>0.77684678900000004</v>
      </c>
      <c r="M646">
        <v>1</v>
      </c>
      <c r="N646">
        <v>-3.6402623000000002E-2</v>
      </c>
    </row>
    <row r="647" spans="1:14" x14ac:dyDescent="0.3">
      <c r="A647" t="s">
        <v>186</v>
      </c>
      <c r="B647">
        <v>162</v>
      </c>
      <c r="C647" t="s">
        <v>19</v>
      </c>
      <c r="D647" t="s">
        <v>23</v>
      </c>
      <c r="E647">
        <v>1</v>
      </c>
      <c r="F647" t="s">
        <v>24</v>
      </c>
      <c r="G647">
        <v>1</v>
      </c>
      <c r="H647" t="s">
        <v>25</v>
      </c>
      <c r="I647">
        <v>0</v>
      </c>
      <c r="J647">
        <v>47.69516754</v>
      </c>
      <c r="L647">
        <v>0.50492477700000005</v>
      </c>
      <c r="M647">
        <v>2</v>
      </c>
      <c r="N647">
        <v>-1.5932863020000001</v>
      </c>
    </row>
    <row r="648" spans="1:14" x14ac:dyDescent="0.3">
      <c r="A648" t="s">
        <v>186</v>
      </c>
      <c r="B648">
        <v>162</v>
      </c>
      <c r="C648" t="s">
        <v>20</v>
      </c>
      <c r="D648" t="s">
        <v>23</v>
      </c>
      <c r="E648">
        <v>1</v>
      </c>
      <c r="F648" t="s">
        <v>24</v>
      </c>
      <c r="G648">
        <v>1</v>
      </c>
      <c r="H648" t="s">
        <v>25</v>
      </c>
      <c r="I648">
        <v>0</v>
      </c>
      <c r="J648">
        <v>47.69516754</v>
      </c>
      <c r="L648">
        <v>0.64606896899999999</v>
      </c>
      <c r="M648">
        <v>3</v>
      </c>
      <c r="N648">
        <v>0.84779279699999999</v>
      </c>
    </row>
    <row r="649" spans="1:14" x14ac:dyDescent="0.3">
      <c r="A649" t="s">
        <v>186</v>
      </c>
      <c r="B649">
        <v>162</v>
      </c>
      <c r="C649" t="s">
        <v>21</v>
      </c>
      <c r="D649" t="s">
        <v>23</v>
      </c>
      <c r="E649">
        <v>1</v>
      </c>
      <c r="F649" t="s">
        <v>24</v>
      </c>
      <c r="G649">
        <v>1</v>
      </c>
      <c r="H649" t="s">
        <v>25</v>
      </c>
      <c r="I649">
        <v>0</v>
      </c>
      <c r="J649">
        <v>47.69516754</v>
      </c>
      <c r="K649">
        <v>54.177955869999998</v>
      </c>
      <c r="L649">
        <v>0.85553674099999999</v>
      </c>
      <c r="M649">
        <v>4</v>
      </c>
      <c r="N649">
        <v>-1.850388849</v>
      </c>
    </row>
    <row r="650" spans="1:14" x14ac:dyDescent="0.3">
      <c r="A650" t="s">
        <v>187</v>
      </c>
      <c r="B650">
        <v>163</v>
      </c>
      <c r="C650" t="s">
        <v>15</v>
      </c>
      <c r="D650" t="s">
        <v>23</v>
      </c>
      <c r="E650">
        <v>1</v>
      </c>
      <c r="F650" t="s">
        <v>33</v>
      </c>
      <c r="G650">
        <v>3</v>
      </c>
      <c r="H650" t="s">
        <v>25</v>
      </c>
      <c r="I650">
        <v>0</v>
      </c>
      <c r="J650">
        <v>56.247513589999997</v>
      </c>
      <c r="L650">
        <v>0.11152780900000001</v>
      </c>
      <c r="M650">
        <v>1</v>
      </c>
      <c r="N650">
        <v>-0.32365063199999999</v>
      </c>
    </row>
    <row r="651" spans="1:14" x14ac:dyDescent="0.3">
      <c r="A651" t="s">
        <v>187</v>
      </c>
      <c r="B651">
        <v>163</v>
      </c>
      <c r="C651" t="s">
        <v>19</v>
      </c>
      <c r="D651" t="s">
        <v>23</v>
      </c>
      <c r="E651">
        <v>1</v>
      </c>
      <c r="F651" t="s">
        <v>33</v>
      </c>
      <c r="G651">
        <v>3</v>
      </c>
      <c r="H651" t="s">
        <v>25</v>
      </c>
      <c r="I651">
        <v>0</v>
      </c>
      <c r="J651">
        <v>56.247513589999997</v>
      </c>
      <c r="K651">
        <v>44.557432810000002</v>
      </c>
      <c r="L651">
        <v>0.51686639899999998</v>
      </c>
      <c r="M651">
        <v>2</v>
      </c>
      <c r="N651">
        <v>-0.255248113</v>
      </c>
    </row>
    <row r="652" spans="1:14" x14ac:dyDescent="0.3">
      <c r="A652" t="s">
        <v>187</v>
      </c>
      <c r="B652">
        <v>163</v>
      </c>
      <c r="C652" t="s">
        <v>20</v>
      </c>
      <c r="D652" t="s">
        <v>23</v>
      </c>
      <c r="E652">
        <v>1</v>
      </c>
      <c r="F652" t="s">
        <v>33</v>
      </c>
      <c r="G652">
        <v>3</v>
      </c>
      <c r="H652" t="s">
        <v>25</v>
      </c>
      <c r="I652">
        <v>0</v>
      </c>
      <c r="J652">
        <v>56.247513589999997</v>
      </c>
      <c r="L652">
        <v>0.75971169999999999</v>
      </c>
      <c r="M652">
        <v>3</v>
      </c>
      <c r="N652">
        <v>6.0921227000000001E-2</v>
      </c>
    </row>
    <row r="653" spans="1:14" x14ac:dyDescent="0.3">
      <c r="A653" t="s">
        <v>187</v>
      </c>
      <c r="B653">
        <v>163</v>
      </c>
      <c r="C653" t="s">
        <v>21</v>
      </c>
      <c r="D653" t="s">
        <v>23</v>
      </c>
      <c r="E653">
        <v>1</v>
      </c>
      <c r="F653" t="s">
        <v>33</v>
      </c>
      <c r="G653">
        <v>3</v>
      </c>
      <c r="H653" t="s">
        <v>25</v>
      </c>
      <c r="I653">
        <v>0</v>
      </c>
      <c r="J653">
        <v>56.247513589999997</v>
      </c>
      <c r="K653">
        <v>62.595793690000001</v>
      </c>
      <c r="L653">
        <v>0.36244072100000002</v>
      </c>
      <c r="M653">
        <v>4</v>
      </c>
      <c r="N653">
        <v>-0.82349162899999995</v>
      </c>
    </row>
    <row r="654" spans="1:14" x14ac:dyDescent="0.3">
      <c r="A654" t="s">
        <v>188</v>
      </c>
      <c r="B654">
        <v>164</v>
      </c>
      <c r="C654" t="s">
        <v>15</v>
      </c>
      <c r="D654" t="s">
        <v>23</v>
      </c>
      <c r="E654">
        <v>1</v>
      </c>
      <c r="F654" t="s">
        <v>17</v>
      </c>
      <c r="G654">
        <v>2</v>
      </c>
      <c r="H654" t="s">
        <v>18</v>
      </c>
      <c r="I654">
        <v>1</v>
      </c>
      <c r="J654">
        <v>38.186502189999999</v>
      </c>
      <c r="L654">
        <v>0.64620933599999997</v>
      </c>
      <c r="M654">
        <v>1</v>
      </c>
      <c r="N654">
        <v>1.829730485</v>
      </c>
    </row>
    <row r="655" spans="1:14" x14ac:dyDescent="0.3">
      <c r="A655" t="s">
        <v>188</v>
      </c>
      <c r="B655">
        <v>164</v>
      </c>
      <c r="C655" t="s">
        <v>19</v>
      </c>
      <c r="D655" t="s">
        <v>23</v>
      </c>
      <c r="E655">
        <v>1</v>
      </c>
      <c r="F655" t="s">
        <v>17</v>
      </c>
      <c r="G655">
        <v>2</v>
      </c>
      <c r="H655" t="s">
        <v>18</v>
      </c>
      <c r="I655">
        <v>1</v>
      </c>
      <c r="J655">
        <v>38.186502189999999</v>
      </c>
      <c r="K655">
        <v>35.483960039999999</v>
      </c>
      <c r="L655">
        <v>0.59419219700000003</v>
      </c>
      <c r="M655">
        <v>2</v>
      </c>
      <c r="N655">
        <v>-1.4299162160000001</v>
      </c>
    </row>
    <row r="656" spans="1:14" x14ac:dyDescent="0.3">
      <c r="A656" t="s">
        <v>188</v>
      </c>
      <c r="B656">
        <v>164</v>
      </c>
      <c r="C656" t="s">
        <v>20</v>
      </c>
      <c r="D656" t="s">
        <v>23</v>
      </c>
      <c r="E656">
        <v>1</v>
      </c>
      <c r="F656" t="s">
        <v>17</v>
      </c>
      <c r="G656">
        <v>2</v>
      </c>
      <c r="H656" t="s">
        <v>18</v>
      </c>
      <c r="I656">
        <v>1</v>
      </c>
      <c r="J656">
        <v>38.186502189999999</v>
      </c>
      <c r="K656">
        <v>44.07767501</v>
      </c>
      <c r="L656">
        <v>0.62146866599999995</v>
      </c>
      <c r="M656">
        <v>3</v>
      </c>
      <c r="N656">
        <v>0.25413714300000001</v>
      </c>
    </row>
    <row r="657" spans="1:14" x14ac:dyDescent="0.3">
      <c r="A657" t="s">
        <v>188</v>
      </c>
      <c r="B657">
        <v>164</v>
      </c>
      <c r="C657" t="s">
        <v>21</v>
      </c>
      <c r="D657" t="s">
        <v>23</v>
      </c>
      <c r="E657">
        <v>1</v>
      </c>
      <c r="F657" t="s">
        <v>17</v>
      </c>
      <c r="G657">
        <v>2</v>
      </c>
      <c r="H657" t="s">
        <v>18</v>
      </c>
      <c r="I657">
        <v>1</v>
      </c>
      <c r="J657">
        <v>38.186502189999999</v>
      </c>
      <c r="K657">
        <v>46.578370489999998</v>
      </c>
      <c r="L657">
        <v>0.86498038300000002</v>
      </c>
      <c r="M657">
        <v>4</v>
      </c>
      <c r="N657">
        <v>-2.939773695</v>
      </c>
    </row>
    <row r="658" spans="1:14" x14ac:dyDescent="0.3">
      <c r="A658" t="s">
        <v>189</v>
      </c>
      <c r="B658">
        <v>165</v>
      </c>
      <c r="C658" t="s">
        <v>15</v>
      </c>
      <c r="D658" t="s">
        <v>16</v>
      </c>
      <c r="E658">
        <v>2</v>
      </c>
      <c r="F658" t="s">
        <v>33</v>
      </c>
      <c r="G658">
        <v>3</v>
      </c>
      <c r="H658" t="s">
        <v>18</v>
      </c>
      <c r="I658">
        <v>1</v>
      </c>
      <c r="J658">
        <v>39.434505979999997</v>
      </c>
      <c r="K658">
        <v>47.679791280000003</v>
      </c>
      <c r="L658">
        <v>0.28680998499999999</v>
      </c>
      <c r="M658">
        <v>1</v>
      </c>
      <c r="N658">
        <v>2.4158090000000001E-3</v>
      </c>
    </row>
    <row r="659" spans="1:14" x14ac:dyDescent="0.3">
      <c r="A659" t="s">
        <v>189</v>
      </c>
      <c r="B659">
        <v>165</v>
      </c>
      <c r="C659" t="s">
        <v>19</v>
      </c>
      <c r="D659" t="s">
        <v>16</v>
      </c>
      <c r="E659">
        <v>2</v>
      </c>
      <c r="F659" t="s">
        <v>33</v>
      </c>
      <c r="G659">
        <v>3</v>
      </c>
      <c r="H659" t="s">
        <v>18</v>
      </c>
      <c r="I659">
        <v>1</v>
      </c>
      <c r="J659">
        <v>39.434505979999997</v>
      </c>
      <c r="L659">
        <v>0.36374769899999998</v>
      </c>
      <c r="M659">
        <v>2</v>
      </c>
      <c r="N659">
        <v>0.50966557099999998</v>
      </c>
    </row>
    <row r="660" spans="1:14" x14ac:dyDescent="0.3">
      <c r="A660" t="s">
        <v>189</v>
      </c>
      <c r="B660">
        <v>165</v>
      </c>
      <c r="C660" t="s">
        <v>20</v>
      </c>
      <c r="D660" t="s">
        <v>16</v>
      </c>
      <c r="E660">
        <v>2</v>
      </c>
      <c r="F660" t="s">
        <v>33</v>
      </c>
      <c r="G660">
        <v>3</v>
      </c>
      <c r="H660" t="s">
        <v>18</v>
      </c>
      <c r="I660">
        <v>1</v>
      </c>
      <c r="J660">
        <v>39.434505979999997</v>
      </c>
      <c r="L660">
        <v>0.77045585100000002</v>
      </c>
      <c r="M660">
        <v>3</v>
      </c>
      <c r="N660">
        <v>-1.084720001</v>
      </c>
    </row>
    <row r="661" spans="1:14" x14ac:dyDescent="0.3">
      <c r="A661" t="s">
        <v>189</v>
      </c>
      <c r="B661">
        <v>165</v>
      </c>
      <c r="C661" t="s">
        <v>21</v>
      </c>
      <c r="D661" t="s">
        <v>16</v>
      </c>
      <c r="E661">
        <v>2</v>
      </c>
      <c r="F661" t="s">
        <v>33</v>
      </c>
      <c r="G661">
        <v>3</v>
      </c>
      <c r="H661" t="s">
        <v>18</v>
      </c>
      <c r="I661">
        <v>1</v>
      </c>
      <c r="J661">
        <v>39.434505979999997</v>
      </c>
      <c r="L661">
        <v>0.21602469799999999</v>
      </c>
      <c r="M661">
        <v>4</v>
      </c>
      <c r="N661">
        <v>0.70483297700000003</v>
      </c>
    </row>
    <row r="662" spans="1:14" x14ac:dyDescent="0.3">
      <c r="A662" t="s">
        <v>190</v>
      </c>
      <c r="B662">
        <v>166</v>
      </c>
      <c r="C662" t="s">
        <v>15</v>
      </c>
      <c r="D662" t="s">
        <v>16</v>
      </c>
      <c r="E662">
        <v>2</v>
      </c>
      <c r="F662" t="s">
        <v>24</v>
      </c>
      <c r="G662">
        <v>1</v>
      </c>
      <c r="H662" t="s">
        <v>25</v>
      </c>
      <c r="I662">
        <v>0</v>
      </c>
      <c r="J662">
        <v>38.420370310000003</v>
      </c>
      <c r="K662">
        <v>22.154387360000001</v>
      </c>
      <c r="L662">
        <v>0.83821951400000005</v>
      </c>
      <c r="M662">
        <v>1</v>
      </c>
      <c r="N662">
        <v>0.33097634999999997</v>
      </c>
    </row>
    <row r="663" spans="1:14" x14ac:dyDescent="0.3">
      <c r="A663" t="s">
        <v>190</v>
      </c>
      <c r="B663">
        <v>166</v>
      </c>
      <c r="C663" t="s">
        <v>19</v>
      </c>
      <c r="D663" t="s">
        <v>16</v>
      </c>
      <c r="E663">
        <v>2</v>
      </c>
      <c r="F663" t="s">
        <v>24</v>
      </c>
      <c r="G663">
        <v>1</v>
      </c>
      <c r="H663" t="s">
        <v>25</v>
      </c>
      <c r="I663">
        <v>0</v>
      </c>
      <c r="J663">
        <v>38.420370310000003</v>
      </c>
      <c r="L663">
        <v>0.169515731</v>
      </c>
      <c r="M663">
        <v>2</v>
      </c>
      <c r="N663">
        <v>0.976327473</v>
      </c>
    </row>
    <row r="664" spans="1:14" x14ac:dyDescent="0.3">
      <c r="A664" t="s">
        <v>190</v>
      </c>
      <c r="B664">
        <v>166</v>
      </c>
      <c r="C664" t="s">
        <v>20</v>
      </c>
      <c r="D664" t="s">
        <v>16</v>
      </c>
      <c r="E664">
        <v>2</v>
      </c>
      <c r="F664" t="s">
        <v>24</v>
      </c>
      <c r="G664">
        <v>1</v>
      </c>
      <c r="H664" t="s">
        <v>25</v>
      </c>
      <c r="I664">
        <v>0</v>
      </c>
      <c r="J664">
        <v>38.420370310000003</v>
      </c>
      <c r="L664">
        <v>0.64885298999999996</v>
      </c>
      <c r="M664">
        <v>3</v>
      </c>
      <c r="N664">
        <v>-0.84333988000000004</v>
      </c>
    </row>
    <row r="665" spans="1:14" x14ac:dyDescent="0.3">
      <c r="A665" t="s">
        <v>190</v>
      </c>
      <c r="B665">
        <v>166</v>
      </c>
      <c r="C665" t="s">
        <v>21</v>
      </c>
      <c r="D665" t="s">
        <v>16</v>
      </c>
      <c r="E665">
        <v>2</v>
      </c>
      <c r="F665" t="s">
        <v>24</v>
      </c>
      <c r="G665">
        <v>1</v>
      </c>
      <c r="H665" t="s">
        <v>25</v>
      </c>
      <c r="I665">
        <v>0</v>
      </c>
      <c r="J665">
        <v>38.420370310000003</v>
      </c>
      <c r="L665">
        <v>0.87412109199999999</v>
      </c>
      <c r="M665">
        <v>4</v>
      </c>
      <c r="N665">
        <v>-0.97057990500000002</v>
      </c>
    </row>
    <row r="666" spans="1:14" x14ac:dyDescent="0.3">
      <c r="A666" t="s">
        <v>191</v>
      </c>
      <c r="B666">
        <v>167</v>
      </c>
      <c r="C666" t="s">
        <v>15</v>
      </c>
      <c r="D666" t="s">
        <v>23</v>
      </c>
      <c r="E666">
        <v>1</v>
      </c>
      <c r="F666" t="s">
        <v>17</v>
      </c>
      <c r="G666">
        <v>2</v>
      </c>
      <c r="H666" t="s">
        <v>25</v>
      </c>
      <c r="I666">
        <v>0</v>
      </c>
      <c r="J666">
        <v>51.713270469999998</v>
      </c>
      <c r="K666">
        <v>34.277652799999998</v>
      </c>
      <c r="L666">
        <v>0.60923528000000005</v>
      </c>
      <c r="M666">
        <v>1</v>
      </c>
      <c r="N666">
        <v>-1.771531349</v>
      </c>
    </row>
    <row r="667" spans="1:14" x14ac:dyDescent="0.3">
      <c r="A667" t="s">
        <v>191</v>
      </c>
      <c r="B667">
        <v>167</v>
      </c>
      <c r="C667" t="s">
        <v>19</v>
      </c>
      <c r="D667" t="s">
        <v>23</v>
      </c>
      <c r="E667">
        <v>1</v>
      </c>
      <c r="F667" t="s">
        <v>17</v>
      </c>
      <c r="G667">
        <v>2</v>
      </c>
      <c r="H667" t="s">
        <v>25</v>
      </c>
      <c r="I667">
        <v>0</v>
      </c>
      <c r="J667">
        <v>51.713270469999998</v>
      </c>
      <c r="K667">
        <v>36.900588499999998</v>
      </c>
      <c r="L667">
        <v>0.43641221499999999</v>
      </c>
      <c r="M667">
        <v>2</v>
      </c>
      <c r="N667">
        <v>-0.32247034200000002</v>
      </c>
    </row>
    <row r="668" spans="1:14" x14ac:dyDescent="0.3">
      <c r="A668" t="s">
        <v>191</v>
      </c>
      <c r="B668">
        <v>167</v>
      </c>
      <c r="C668" t="s">
        <v>20</v>
      </c>
      <c r="D668" t="s">
        <v>23</v>
      </c>
      <c r="E668">
        <v>1</v>
      </c>
      <c r="F668" t="s">
        <v>17</v>
      </c>
      <c r="G668">
        <v>2</v>
      </c>
      <c r="H668" t="s">
        <v>25</v>
      </c>
      <c r="I668">
        <v>0</v>
      </c>
      <c r="J668">
        <v>51.713270469999998</v>
      </c>
      <c r="L668">
        <v>0.74411178099999997</v>
      </c>
      <c r="M668">
        <v>3</v>
      </c>
      <c r="N668">
        <v>-1.3388007420000001</v>
      </c>
    </row>
    <row r="669" spans="1:14" x14ac:dyDescent="0.3">
      <c r="A669" t="s">
        <v>191</v>
      </c>
      <c r="B669">
        <v>167</v>
      </c>
      <c r="C669" t="s">
        <v>21</v>
      </c>
      <c r="D669" t="s">
        <v>23</v>
      </c>
      <c r="E669">
        <v>1</v>
      </c>
      <c r="F669" t="s">
        <v>17</v>
      </c>
      <c r="G669">
        <v>2</v>
      </c>
      <c r="H669" t="s">
        <v>25</v>
      </c>
      <c r="I669">
        <v>0</v>
      </c>
      <c r="J669">
        <v>51.713270469999998</v>
      </c>
      <c r="K669">
        <v>40.542854179999999</v>
      </c>
      <c r="L669">
        <v>0.30831000400000003</v>
      </c>
      <c r="M669">
        <v>4</v>
      </c>
      <c r="N669">
        <v>0.68815602799999998</v>
      </c>
    </row>
    <row r="670" spans="1:14" x14ac:dyDescent="0.3">
      <c r="A670" t="s">
        <v>192</v>
      </c>
      <c r="B670">
        <v>168</v>
      </c>
      <c r="C670" t="s">
        <v>15</v>
      </c>
      <c r="D670" t="s">
        <v>23</v>
      </c>
      <c r="E670">
        <v>1</v>
      </c>
      <c r="F670" t="s">
        <v>17</v>
      </c>
      <c r="G670">
        <v>2</v>
      </c>
      <c r="H670" t="s">
        <v>18</v>
      </c>
      <c r="I670">
        <v>1</v>
      </c>
      <c r="J670">
        <v>41.247113229999997</v>
      </c>
      <c r="K670">
        <v>29.094939849999999</v>
      </c>
      <c r="L670">
        <v>0.62569465400000002</v>
      </c>
      <c r="M670">
        <v>1</v>
      </c>
      <c r="N670">
        <v>7.1280652E-2</v>
      </c>
    </row>
    <row r="671" spans="1:14" x14ac:dyDescent="0.3">
      <c r="A671" t="s">
        <v>192</v>
      </c>
      <c r="B671">
        <v>168</v>
      </c>
      <c r="C671" t="s">
        <v>19</v>
      </c>
      <c r="D671" t="s">
        <v>23</v>
      </c>
      <c r="E671">
        <v>1</v>
      </c>
      <c r="F671" t="s">
        <v>17</v>
      </c>
      <c r="G671">
        <v>2</v>
      </c>
      <c r="H671" t="s">
        <v>18</v>
      </c>
      <c r="I671">
        <v>1</v>
      </c>
      <c r="J671">
        <v>41.247113229999997</v>
      </c>
      <c r="K671">
        <v>37.2176805</v>
      </c>
      <c r="L671">
        <v>0.56603868800000001</v>
      </c>
      <c r="M671">
        <v>2</v>
      </c>
      <c r="N671">
        <v>2.1897523589999999</v>
      </c>
    </row>
    <row r="672" spans="1:14" x14ac:dyDescent="0.3">
      <c r="A672" t="s">
        <v>192</v>
      </c>
      <c r="B672">
        <v>168</v>
      </c>
      <c r="C672" t="s">
        <v>20</v>
      </c>
      <c r="D672" t="s">
        <v>23</v>
      </c>
      <c r="E672">
        <v>1</v>
      </c>
      <c r="F672" t="s">
        <v>17</v>
      </c>
      <c r="G672">
        <v>2</v>
      </c>
      <c r="H672" t="s">
        <v>18</v>
      </c>
      <c r="I672">
        <v>1</v>
      </c>
      <c r="J672">
        <v>41.247113229999997</v>
      </c>
      <c r="K672">
        <v>43.0849124</v>
      </c>
      <c r="L672">
        <v>0.61456580100000002</v>
      </c>
      <c r="M672">
        <v>3</v>
      </c>
      <c r="N672">
        <v>-1.1577075990000001</v>
      </c>
    </row>
    <row r="673" spans="1:14" x14ac:dyDescent="0.3">
      <c r="A673" t="s">
        <v>192</v>
      </c>
      <c r="B673">
        <v>168</v>
      </c>
      <c r="C673" t="s">
        <v>21</v>
      </c>
      <c r="D673" t="s">
        <v>23</v>
      </c>
      <c r="E673">
        <v>1</v>
      </c>
      <c r="F673" t="s">
        <v>17</v>
      </c>
      <c r="G673">
        <v>2</v>
      </c>
      <c r="H673" t="s">
        <v>18</v>
      </c>
      <c r="I673">
        <v>1</v>
      </c>
      <c r="J673">
        <v>41.247113229999997</v>
      </c>
      <c r="L673">
        <v>0.120166046</v>
      </c>
      <c r="M673">
        <v>4</v>
      </c>
      <c r="N673">
        <v>1.181688064</v>
      </c>
    </row>
    <row r="674" spans="1:14" x14ac:dyDescent="0.3">
      <c r="A674" t="s">
        <v>193</v>
      </c>
      <c r="B674">
        <v>169</v>
      </c>
      <c r="C674" t="s">
        <v>15</v>
      </c>
      <c r="D674" t="s">
        <v>23</v>
      </c>
      <c r="E674">
        <v>1</v>
      </c>
      <c r="F674" t="s">
        <v>33</v>
      </c>
      <c r="G674">
        <v>3</v>
      </c>
      <c r="H674" t="s">
        <v>18</v>
      </c>
      <c r="I674">
        <v>1</v>
      </c>
      <c r="J674">
        <v>33.617744020000004</v>
      </c>
      <c r="K674">
        <v>27.121739600000002</v>
      </c>
      <c r="L674">
        <v>0.151484956</v>
      </c>
      <c r="M674">
        <v>1</v>
      </c>
      <c r="N674">
        <v>-0.52736836200000003</v>
      </c>
    </row>
    <row r="675" spans="1:14" x14ac:dyDescent="0.3">
      <c r="A675" t="s">
        <v>193</v>
      </c>
      <c r="B675">
        <v>169</v>
      </c>
      <c r="C675" t="s">
        <v>19</v>
      </c>
      <c r="D675" t="s">
        <v>23</v>
      </c>
      <c r="E675">
        <v>1</v>
      </c>
      <c r="F675" t="s">
        <v>33</v>
      </c>
      <c r="G675">
        <v>3</v>
      </c>
      <c r="H675" t="s">
        <v>18</v>
      </c>
      <c r="I675">
        <v>1</v>
      </c>
      <c r="J675">
        <v>33.617744020000004</v>
      </c>
      <c r="K675">
        <v>34.119161660000003</v>
      </c>
      <c r="L675">
        <v>0.88467724999999997</v>
      </c>
      <c r="M675">
        <v>2</v>
      </c>
      <c r="N675">
        <v>-1.4566280110000001</v>
      </c>
    </row>
    <row r="676" spans="1:14" x14ac:dyDescent="0.3">
      <c r="A676" t="s">
        <v>193</v>
      </c>
      <c r="B676">
        <v>169</v>
      </c>
      <c r="C676" t="s">
        <v>20</v>
      </c>
      <c r="D676" t="s">
        <v>23</v>
      </c>
      <c r="E676">
        <v>1</v>
      </c>
      <c r="F676" t="s">
        <v>33</v>
      </c>
      <c r="G676">
        <v>3</v>
      </c>
      <c r="H676" t="s">
        <v>18</v>
      </c>
      <c r="I676">
        <v>1</v>
      </c>
      <c r="J676">
        <v>33.617744020000004</v>
      </c>
      <c r="L676">
        <v>0.85152450800000001</v>
      </c>
      <c r="M676">
        <v>3</v>
      </c>
      <c r="N676">
        <v>0.57296736999999998</v>
      </c>
    </row>
    <row r="677" spans="1:14" x14ac:dyDescent="0.3">
      <c r="A677" t="s">
        <v>193</v>
      </c>
      <c r="B677">
        <v>169</v>
      </c>
      <c r="C677" t="s">
        <v>21</v>
      </c>
      <c r="D677" t="s">
        <v>23</v>
      </c>
      <c r="E677">
        <v>1</v>
      </c>
      <c r="F677" t="s">
        <v>33</v>
      </c>
      <c r="G677">
        <v>3</v>
      </c>
      <c r="H677" t="s">
        <v>18</v>
      </c>
      <c r="I677">
        <v>1</v>
      </c>
      <c r="J677">
        <v>33.617744020000004</v>
      </c>
      <c r="L677">
        <v>0.25766739999999999</v>
      </c>
      <c r="M677">
        <v>4</v>
      </c>
      <c r="N677">
        <v>-1.4333777050000001</v>
      </c>
    </row>
    <row r="678" spans="1:14" x14ac:dyDescent="0.3">
      <c r="A678" t="s">
        <v>194</v>
      </c>
      <c r="B678">
        <v>170</v>
      </c>
      <c r="C678" t="s">
        <v>15</v>
      </c>
      <c r="D678" t="s">
        <v>16</v>
      </c>
      <c r="E678">
        <v>2</v>
      </c>
      <c r="F678" t="s">
        <v>33</v>
      </c>
      <c r="G678">
        <v>3</v>
      </c>
      <c r="H678" t="s">
        <v>18</v>
      </c>
      <c r="I678">
        <v>1</v>
      </c>
      <c r="J678">
        <v>37.149436680000001</v>
      </c>
      <c r="L678">
        <v>0.65313647200000002</v>
      </c>
      <c r="M678">
        <v>1</v>
      </c>
      <c r="N678">
        <v>-1.0551850190000001</v>
      </c>
    </row>
    <row r="679" spans="1:14" x14ac:dyDescent="0.3">
      <c r="A679" t="s">
        <v>194</v>
      </c>
      <c r="B679">
        <v>170</v>
      </c>
      <c r="C679" t="s">
        <v>19</v>
      </c>
      <c r="D679" t="s">
        <v>16</v>
      </c>
      <c r="E679">
        <v>2</v>
      </c>
      <c r="F679" t="s">
        <v>33</v>
      </c>
      <c r="G679">
        <v>3</v>
      </c>
      <c r="H679" t="s">
        <v>18</v>
      </c>
      <c r="I679">
        <v>1</v>
      </c>
      <c r="J679">
        <v>37.149436680000001</v>
      </c>
      <c r="K679">
        <v>40.802298139999998</v>
      </c>
      <c r="L679">
        <v>0.363863257</v>
      </c>
      <c r="M679">
        <v>2</v>
      </c>
      <c r="N679">
        <v>-0.73311187700000002</v>
      </c>
    </row>
    <row r="680" spans="1:14" x14ac:dyDescent="0.3">
      <c r="A680" t="s">
        <v>194</v>
      </c>
      <c r="B680">
        <v>170</v>
      </c>
      <c r="C680" t="s">
        <v>20</v>
      </c>
      <c r="D680" t="s">
        <v>16</v>
      </c>
      <c r="E680">
        <v>2</v>
      </c>
      <c r="F680" t="s">
        <v>33</v>
      </c>
      <c r="G680">
        <v>3</v>
      </c>
      <c r="H680" t="s">
        <v>18</v>
      </c>
      <c r="I680">
        <v>1</v>
      </c>
      <c r="J680">
        <v>37.149436680000001</v>
      </c>
      <c r="K680">
        <v>45.89268817</v>
      </c>
      <c r="L680">
        <v>0.642044069</v>
      </c>
      <c r="M680">
        <v>3</v>
      </c>
      <c r="N680">
        <v>0.21090726400000001</v>
      </c>
    </row>
    <row r="681" spans="1:14" x14ac:dyDescent="0.3">
      <c r="A681" t="s">
        <v>194</v>
      </c>
      <c r="B681">
        <v>170</v>
      </c>
      <c r="C681" t="s">
        <v>21</v>
      </c>
      <c r="D681" t="s">
        <v>16</v>
      </c>
      <c r="E681">
        <v>2</v>
      </c>
      <c r="F681" t="s">
        <v>33</v>
      </c>
      <c r="G681">
        <v>3</v>
      </c>
      <c r="H681" t="s">
        <v>18</v>
      </c>
      <c r="I681">
        <v>1</v>
      </c>
      <c r="J681">
        <v>37.149436680000001</v>
      </c>
      <c r="K681">
        <v>43.691525579999997</v>
      </c>
      <c r="L681">
        <v>0.15818658699999999</v>
      </c>
      <c r="M681">
        <v>4</v>
      </c>
      <c r="N681">
        <v>-0.99892072700000001</v>
      </c>
    </row>
    <row r="682" spans="1:14" x14ac:dyDescent="0.3">
      <c r="A682" t="s">
        <v>195</v>
      </c>
      <c r="B682">
        <v>171</v>
      </c>
      <c r="C682" t="s">
        <v>15</v>
      </c>
      <c r="D682" t="s">
        <v>23</v>
      </c>
      <c r="E682">
        <v>1</v>
      </c>
      <c r="F682" t="s">
        <v>24</v>
      </c>
      <c r="G682">
        <v>1</v>
      </c>
      <c r="H682" t="s">
        <v>18</v>
      </c>
      <c r="I682">
        <v>1</v>
      </c>
      <c r="J682">
        <v>46.106061080000003</v>
      </c>
      <c r="L682">
        <v>0.88486866500000005</v>
      </c>
      <c r="M682">
        <v>1</v>
      </c>
      <c r="N682">
        <v>1.0778503230000001</v>
      </c>
    </row>
    <row r="683" spans="1:14" x14ac:dyDescent="0.3">
      <c r="A683" t="s">
        <v>195</v>
      </c>
      <c r="B683">
        <v>171</v>
      </c>
      <c r="C683" t="s">
        <v>19</v>
      </c>
      <c r="D683" t="s">
        <v>23</v>
      </c>
      <c r="E683">
        <v>1</v>
      </c>
      <c r="F683" t="s">
        <v>24</v>
      </c>
      <c r="G683">
        <v>1</v>
      </c>
      <c r="H683" t="s">
        <v>18</v>
      </c>
      <c r="I683">
        <v>1</v>
      </c>
      <c r="J683">
        <v>46.106061080000003</v>
      </c>
      <c r="K683">
        <v>29.228689039999999</v>
      </c>
      <c r="L683">
        <v>0.20085328</v>
      </c>
      <c r="M683">
        <v>2</v>
      </c>
      <c r="N683">
        <v>-1.1989743829999999</v>
      </c>
    </row>
    <row r="684" spans="1:14" x14ac:dyDescent="0.3">
      <c r="A684" t="s">
        <v>195</v>
      </c>
      <c r="B684">
        <v>171</v>
      </c>
      <c r="C684" t="s">
        <v>20</v>
      </c>
      <c r="D684" t="s">
        <v>23</v>
      </c>
      <c r="E684">
        <v>1</v>
      </c>
      <c r="F684" t="s">
        <v>24</v>
      </c>
      <c r="G684">
        <v>1</v>
      </c>
      <c r="H684" t="s">
        <v>18</v>
      </c>
      <c r="I684">
        <v>1</v>
      </c>
      <c r="J684">
        <v>46.106061080000003</v>
      </c>
      <c r="L684">
        <v>0.40333929499999999</v>
      </c>
      <c r="M684">
        <v>3</v>
      </c>
      <c r="N684">
        <v>0.21663703500000001</v>
      </c>
    </row>
    <row r="685" spans="1:14" x14ac:dyDescent="0.3">
      <c r="A685" t="s">
        <v>195</v>
      </c>
      <c r="B685">
        <v>171</v>
      </c>
      <c r="C685" t="s">
        <v>21</v>
      </c>
      <c r="D685" t="s">
        <v>23</v>
      </c>
      <c r="E685">
        <v>1</v>
      </c>
      <c r="F685" t="s">
        <v>24</v>
      </c>
      <c r="G685">
        <v>1</v>
      </c>
      <c r="H685" t="s">
        <v>18</v>
      </c>
      <c r="I685">
        <v>1</v>
      </c>
      <c r="J685">
        <v>46.106061080000003</v>
      </c>
      <c r="K685">
        <v>55.683618469999999</v>
      </c>
      <c r="L685">
        <v>0.78263547099999997</v>
      </c>
      <c r="M685">
        <v>4</v>
      </c>
      <c r="N685">
        <v>0.14308703</v>
      </c>
    </row>
    <row r="686" spans="1:14" x14ac:dyDescent="0.3">
      <c r="A686" t="s">
        <v>196</v>
      </c>
      <c r="B686">
        <v>172</v>
      </c>
      <c r="C686" t="s">
        <v>15</v>
      </c>
      <c r="D686" t="s">
        <v>16</v>
      </c>
      <c r="E686">
        <v>2</v>
      </c>
      <c r="F686" t="s">
        <v>24</v>
      </c>
      <c r="G686">
        <v>1</v>
      </c>
      <c r="H686" t="s">
        <v>18</v>
      </c>
      <c r="I686">
        <v>1</v>
      </c>
      <c r="J686">
        <v>47.137504479999997</v>
      </c>
      <c r="K686">
        <v>31.906983839999999</v>
      </c>
      <c r="L686">
        <v>0.76363643199999998</v>
      </c>
      <c r="M686">
        <v>1</v>
      </c>
      <c r="N686">
        <v>-1.065750091</v>
      </c>
    </row>
    <row r="687" spans="1:14" x14ac:dyDescent="0.3">
      <c r="A687" t="s">
        <v>196</v>
      </c>
      <c r="B687">
        <v>172</v>
      </c>
      <c r="C687" t="s">
        <v>19</v>
      </c>
      <c r="D687" t="s">
        <v>16</v>
      </c>
      <c r="E687">
        <v>2</v>
      </c>
      <c r="F687" t="s">
        <v>24</v>
      </c>
      <c r="G687">
        <v>1</v>
      </c>
      <c r="H687" t="s">
        <v>18</v>
      </c>
      <c r="I687">
        <v>1</v>
      </c>
      <c r="J687">
        <v>47.137504479999997</v>
      </c>
      <c r="K687">
        <v>37.310607619999999</v>
      </c>
      <c r="L687">
        <v>0.63669746900000002</v>
      </c>
      <c r="M687">
        <v>2</v>
      </c>
      <c r="N687">
        <v>-0.42862341100000001</v>
      </c>
    </row>
    <row r="688" spans="1:14" x14ac:dyDescent="0.3">
      <c r="A688" t="s">
        <v>196</v>
      </c>
      <c r="B688">
        <v>172</v>
      </c>
      <c r="C688" t="s">
        <v>20</v>
      </c>
      <c r="D688" t="s">
        <v>16</v>
      </c>
      <c r="E688">
        <v>2</v>
      </c>
      <c r="F688" t="s">
        <v>24</v>
      </c>
      <c r="G688">
        <v>1</v>
      </c>
      <c r="H688" t="s">
        <v>18</v>
      </c>
      <c r="I688">
        <v>1</v>
      </c>
      <c r="J688">
        <v>47.137504479999997</v>
      </c>
      <c r="K688">
        <v>40.755459100000003</v>
      </c>
      <c r="L688">
        <v>0.662327942</v>
      </c>
      <c r="M688">
        <v>3</v>
      </c>
      <c r="N688">
        <v>-0.65617947700000001</v>
      </c>
    </row>
    <row r="689" spans="1:14" x14ac:dyDescent="0.3">
      <c r="A689" t="s">
        <v>196</v>
      </c>
      <c r="B689">
        <v>172</v>
      </c>
      <c r="C689" t="s">
        <v>21</v>
      </c>
      <c r="D689" t="s">
        <v>16</v>
      </c>
      <c r="E689">
        <v>2</v>
      </c>
      <c r="F689" t="s">
        <v>24</v>
      </c>
      <c r="G689">
        <v>1</v>
      </c>
      <c r="H689" t="s">
        <v>18</v>
      </c>
      <c r="I689">
        <v>1</v>
      </c>
      <c r="J689">
        <v>47.137504479999997</v>
      </c>
      <c r="L689">
        <v>0.80765943200000001</v>
      </c>
      <c r="M689">
        <v>4</v>
      </c>
      <c r="N689">
        <v>0.95939432700000005</v>
      </c>
    </row>
    <row r="690" spans="1:14" x14ac:dyDescent="0.3">
      <c r="A690" t="s">
        <v>197</v>
      </c>
      <c r="B690">
        <v>173</v>
      </c>
      <c r="C690" t="s">
        <v>15</v>
      </c>
      <c r="D690" t="s">
        <v>16</v>
      </c>
      <c r="E690">
        <v>2</v>
      </c>
      <c r="F690" t="s">
        <v>33</v>
      </c>
      <c r="G690">
        <v>3</v>
      </c>
      <c r="H690" t="s">
        <v>18</v>
      </c>
      <c r="I690">
        <v>1</v>
      </c>
      <c r="J690">
        <v>36.429200450000003</v>
      </c>
      <c r="K690">
        <v>42.194736599999999</v>
      </c>
      <c r="L690">
        <v>0.46955191600000001</v>
      </c>
      <c r="M690">
        <v>1</v>
      </c>
      <c r="N690">
        <v>1.556052636</v>
      </c>
    </row>
    <row r="691" spans="1:14" x14ac:dyDescent="0.3">
      <c r="A691" t="s">
        <v>197</v>
      </c>
      <c r="B691">
        <v>173</v>
      </c>
      <c r="C691" t="s">
        <v>19</v>
      </c>
      <c r="D691" t="s">
        <v>16</v>
      </c>
      <c r="E691">
        <v>2</v>
      </c>
      <c r="F691" t="s">
        <v>33</v>
      </c>
      <c r="G691">
        <v>3</v>
      </c>
      <c r="H691" t="s">
        <v>18</v>
      </c>
      <c r="I691">
        <v>1</v>
      </c>
      <c r="J691">
        <v>36.429200450000003</v>
      </c>
      <c r="K691">
        <v>44.872277150000002</v>
      </c>
      <c r="L691">
        <v>0.66023405700000004</v>
      </c>
      <c r="M691">
        <v>2</v>
      </c>
      <c r="N691">
        <v>-1.040796434</v>
      </c>
    </row>
    <row r="692" spans="1:14" x14ac:dyDescent="0.3">
      <c r="A692" t="s">
        <v>197</v>
      </c>
      <c r="B692">
        <v>173</v>
      </c>
      <c r="C692" t="s">
        <v>20</v>
      </c>
      <c r="D692" t="s">
        <v>16</v>
      </c>
      <c r="E692">
        <v>2</v>
      </c>
      <c r="F692" t="s">
        <v>33</v>
      </c>
      <c r="G692">
        <v>3</v>
      </c>
      <c r="H692" t="s">
        <v>18</v>
      </c>
      <c r="I692">
        <v>1</v>
      </c>
      <c r="J692">
        <v>36.429200450000003</v>
      </c>
      <c r="K692">
        <v>47.551984740000002</v>
      </c>
      <c r="L692">
        <v>0.45481197299999998</v>
      </c>
      <c r="M692">
        <v>3</v>
      </c>
      <c r="N692">
        <v>0.93057240900000004</v>
      </c>
    </row>
    <row r="693" spans="1:14" x14ac:dyDescent="0.3">
      <c r="A693" t="s">
        <v>197</v>
      </c>
      <c r="B693">
        <v>173</v>
      </c>
      <c r="C693" t="s">
        <v>21</v>
      </c>
      <c r="D693" t="s">
        <v>16</v>
      </c>
      <c r="E693">
        <v>2</v>
      </c>
      <c r="F693" t="s">
        <v>33</v>
      </c>
      <c r="G693">
        <v>3</v>
      </c>
      <c r="H693" t="s">
        <v>18</v>
      </c>
      <c r="I693">
        <v>1</v>
      </c>
      <c r="J693">
        <v>36.429200450000003</v>
      </c>
      <c r="L693">
        <v>0.82810139000000005</v>
      </c>
      <c r="M693">
        <v>4</v>
      </c>
      <c r="N693">
        <v>-7.5445930999999994E-2</v>
      </c>
    </row>
    <row r="694" spans="1:14" x14ac:dyDescent="0.3">
      <c r="A694" t="s">
        <v>198</v>
      </c>
      <c r="B694">
        <v>174</v>
      </c>
      <c r="C694" t="s">
        <v>15</v>
      </c>
      <c r="D694" t="s">
        <v>16</v>
      </c>
      <c r="E694">
        <v>2</v>
      </c>
      <c r="F694" t="s">
        <v>17</v>
      </c>
      <c r="G694">
        <v>2</v>
      </c>
      <c r="H694" t="s">
        <v>18</v>
      </c>
      <c r="I694">
        <v>1</v>
      </c>
      <c r="J694">
        <v>45.105409539999997</v>
      </c>
      <c r="K694">
        <v>50.62894309</v>
      </c>
      <c r="L694">
        <v>0.194719589</v>
      </c>
      <c r="M694">
        <v>1</v>
      </c>
      <c r="N694">
        <v>-1.967195349</v>
      </c>
    </row>
    <row r="695" spans="1:14" x14ac:dyDescent="0.3">
      <c r="A695" t="s">
        <v>198</v>
      </c>
      <c r="B695">
        <v>174</v>
      </c>
      <c r="C695" t="s">
        <v>19</v>
      </c>
      <c r="D695" t="s">
        <v>16</v>
      </c>
      <c r="E695">
        <v>2</v>
      </c>
      <c r="F695" t="s">
        <v>17</v>
      </c>
      <c r="G695">
        <v>2</v>
      </c>
      <c r="H695" t="s">
        <v>18</v>
      </c>
      <c r="I695">
        <v>1</v>
      </c>
      <c r="J695">
        <v>45.105409539999997</v>
      </c>
      <c r="K695">
        <v>45.475511099999999</v>
      </c>
      <c r="L695">
        <v>0.14462566399999999</v>
      </c>
      <c r="M695">
        <v>2</v>
      </c>
      <c r="N695">
        <v>-0.75590364300000001</v>
      </c>
    </row>
    <row r="696" spans="1:14" x14ac:dyDescent="0.3">
      <c r="A696" t="s">
        <v>198</v>
      </c>
      <c r="B696">
        <v>174</v>
      </c>
      <c r="C696" t="s">
        <v>20</v>
      </c>
      <c r="D696" t="s">
        <v>16</v>
      </c>
      <c r="E696">
        <v>2</v>
      </c>
      <c r="F696" t="s">
        <v>17</v>
      </c>
      <c r="G696">
        <v>2</v>
      </c>
      <c r="H696" t="s">
        <v>18</v>
      </c>
      <c r="I696">
        <v>1</v>
      </c>
      <c r="J696">
        <v>45.105409539999997</v>
      </c>
      <c r="K696">
        <v>48.62167985</v>
      </c>
      <c r="L696">
        <v>0.66578618099999998</v>
      </c>
      <c r="M696">
        <v>3</v>
      </c>
      <c r="N696">
        <v>0.46114916099999997</v>
      </c>
    </row>
    <row r="697" spans="1:14" x14ac:dyDescent="0.3">
      <c r="A697" t="s">
        <v>198</v>
      </c>
      <c r="B697">
        <v>174</v>
      </c>
      <c r="C697" t="s">
        <v>21</v>
      </c>
      <c r="D697" t="s">
        <v>16</v>
      </c>
      <c r="E697">
        <v>2</v>
      </c>
      <c r="F697" t="s">
        <v>17</v>
      </c>
      <c r="G697">
        <v>2</v>
      </c>
      <c r="H697" t="s">
        <v>18</v>
      </c>
      <c r="I697">
        <v>1</v>
      </c>
      <c r="J697">
        <v>45.105409539999997</v>
      </c>
      <c r="L697">
        <v>0.79479593999999998</v>
      </c>
      <c r="M697">
        <v>4</v>
      </c>
      <c r="N697">
        <v>0.14510663100000001</v>
      </c>
    </row>
    <row r="698" spans="1:14" x14ac:dyDescent="0.3">
      <c r="A698" t="s">
        <v>199</v>
      </c>
      <c r="B698">
        <v>175</v>
      </c>
      <c r="C698" t="s">
        <v>15</v>
      </c>
      <c r="D698" t="s">
        <v>23</v>
      </c>
      <c r="E698">
        <v>1</v>
      </c>
      <c r="F698" t="s">
        <v>17</v>
      </c>
      <c r="G698">
        <v>2</v>
      </c>
      <c r="H698" t="s">
        <v>18</v>
      </c>
      <c r="I698">
        <v>1</v>
      </c>
      <c r="J698">
        <v>24.25988534</v>
      </c>
      <c r="K698">
        <v>29.664926189999999</v>
      </c>
      <c r="L698">
        <v>0.103930826</v>
      </c>
      <c r="M698">
        <v>1</v>
      </c>
      <c r="N698">
        <v>-2.442311321</v>
      </c>
    </row>
    <row r="699" spans="1:14" x14ac:dyDescent="0.3">
      <c r="A699" t="s">
        <v>199</v>
      </c>
      <c r="B699">
        <v>175</v>
      </c>
      <c r="C699" t="s">
        <v>19</v>
      </c>
      <c r="D699" t="s">
        <v>23</v>
      </c>
      <c r="E699">
        <v>1</v>
      </c>
      <c r="F699" t="s">
        <v>17</v>
      </c>
      <c r="G699">
        <v>2</v>
      </c>
      <c r="H699" t="s">
        <v>18</v>
      </c>
      <c r="I699">
        <v>1</v>
      </c>
      <c r="J699">
        <v>24.25988534</v>
      </c>
      <c r="K699">
        <v>34.574060209999999</v>
      </c>
      <c r="L699">
        <v>0.706568898</v>
      </c>
      <c r="M699">
        <v>2</v>
      </c>
      <c r="N699">
        <v>0.58031868499999995</v>
      </c>
    </row>
    <row r="700" spans="1:14" x14ac:dyDescent="0.3">
      <c r="A700" t="s">
        <v>199</v>
      </c>
      <c r="B700">
        <v>175</v>
      </c>
      <c r="C700" t="s">
        <v>20</v>
      </c>
      <c r="D700" t="s">
        <v>23</v>
      </c>
      <c r="E700">
        <v>1</v>
      </c>
      <c r="F700" t="s">
        <v>17</v>
      </c>
      <c r="G700">
        <v>2</v>
      </c>
      <c r="H700" t="s">
        <v>18</v>
      </c>
      <c r="I700">
        <v>1</v>
      </c>
      <c r="J700">
        <v>24.25988534</v>
      </c>
      <c r="L700">
        <v>0.72558455799999999</v>
      </c>
      <c r="M700">
        <v>3</v>
      </c>
      <c r="N700">
        <v>0.65505199800000002</v>
      </c>
    </row>
    <row r="701" spans="1:14" x14ac:dyDescent="0.3">
      <c r="A701" t="s">
        <v>199</v>
      </c>
      <c r="B701">
        <v>175</v>
      </c>
      <c r="C701" t="s">
        <v>21</v>
      </c>
      <c r="D701" t="s">
        <v>23</v>
      </c>
      <c r="E701">
        <v>1</v>
      </c>
      <c r="F701" t="s">
        <v>17</v>
      </c>
      <c r="G701">
        <v>2</v>
      </c>
      <c r="H701" t="s">
        <v>18</v>
      </c>
      <c r="I701">
        <v>1</v>
      </c>
      <c r="J701">
        <v>24.25988534</v>
      </c>
      <c r="K701">
        <v>38.116757389999997</v>
      </c>
      <c r="L701">
        <v>0.495015345</v>
      </c>
      <c r="M701">
        <v>4</v>
      </c>
      <c r="N701">
        <v>-0.30450883699999998</v>
      </c>
    </row>
    <row r="702" spans="1:14" x14ac:dyDescent="0.3">
      <c r="A702" t="s">
        <v>200</v>
      </c>
      <c r="B702">
        <v>176</v>
      </c>
      <c r="C702" t="s">
        <v>15</v>
      </c>
      <c r="D702" t="s">
        <v>16</v>
      </c>
      <c r="E702">
        <v>2</v>
      </c>
      <c r="F702" t="s">
        <v>17</v>
      </c>
      <c r="G702">
        <v>2</v>
      </c>
      <c r="H702" t="s">
        <v>25</v>
      </c>
      <c r="I702">
        <v>0</v>
      </c>
      <c r="J702">
        <v>34.428275120000002</v>
      </c>
      <c r="K702">
        <v>33.772041629999997</v>
      </c>
      <c r="L702">
        <v>0.59217288700000004</v>
      </c>
      <c r="M702">
        <v>1</v>
      </c>
      <c r="N702">
        <v>-0.70756823300000005</v>
      </c>
    </row>
    <row r="703" spans="1:14" x14ac:dyDescent="0.3">
      <c r="A703" t="s">
        <v>200</v>
      </c>
      <c r="B703">
        <v>176</v>
      </c>
      <c r="C703" t="s">
        <v>19</v>
      </c>
      <c r="D703" t="s">
        <v>16</v>
      </c>
      <c r="E703">
        <v>2</v>
      </c>
      <c r="F703" t="s">
        <v>17</v>
      </c>
      <c r="G703">
        <v>2</v>
      </c>
      <c r="H703" t="s">
        <v>25</v>
      </c>
      <c r="I703">
        <v>0</v>
      </c>
      <c r="J703">
        <v>34.428275120000002</v>
      </c>
      <c r="K703">
        <v>34.261479370000004</v>
      </c>
      <c r="L703">
        <v>0.384857634</v>
      </c>
      <c r="M703">
        <v>2</v>
      </c>
      <c r="N703">
        <v>1.9715720139999999</v>
      </c>
    </row>
    <row r="704" spans="1:14" x14ac:dyDescent="0.3">
      <c r="A704" t="s">
        <v>200</v>
      </c>
      <c r="B704">
        <v>176</v>
      </c>
      <c r="C704" t="s">
        <v>20</v>
      </c>
      <c r="D704" t="s">
        <v>16</v>
      </c>
      <c r="E704">
        <v>2</v>
      </c>
      <c r="F704" t="s">
        <v>17</v>
      </c>
      <c r="G704">
        <v>2</v>
      </c>
      <c r="H704" t="s">
        <v>25</v>
      </c>
      <c r="I704">
        <v>0</v>
      </c>
      <c r="J704">
        <v>34.428275120000002</v>
      </c>
      <c r="L704">
        <v>0.47236148100000003</v>
      </c>
      <c r="M704">
        <v>3</v>
      </c>
      <c r="N704">
        <v>-8.9998680999999997E-2</v>
      </c>
    </row>
    <row r="705" spans="1:14" x14ac:dyDescent="0.3">
      <c r="A705" t="s">
        <v>200</v>
      </c>
      <c r="B705">
        <v>176</v>
      </c>
      <c r="C705" t="s">
        <v>21</v>
      </c>
      <c r="D705" t="s">
        <v>16</v>
      </c>
      <c r="E705">
        <v>2</v>
      </c>
      <c r="F705" t="s">
        <v>17</v>
      </c>
      <c r="G705">
        <v>2</v>
      </c>
      <c r="H705" t="s">
        <v>25</v>
      </c>
      <c r="I705">
        <v>0</v>
      </c>
      <c r="J705">
        <v>34.428275120000002</v>
      </c>
      <c r="K705">
        <v>58.810371490000001</v>
      </c>
      <c r="L705">
        <v>0.33915425399999999</v>
      </c>
      <c r="M705">
        <v>4</v>
      </c>
      <c r="N705">
        <v>-1.4017251999999999E-2</v>
      </c>
    </row>
    <row r="706" spans="1:14" x14ac:dyDescent="0.3">
      <c r="A706" t="s">
        <v>201</v>
      </c>
      <c r="B706">
        <v>177</v>
      </c>
      <c r="C706" t="s">
        <v>15</v>
      </c>
      <c r="D706" t="s">
        <v>23</v>
      </c>
      <c r="E706">
        <v>1</v>
      </c>
      <c r="F706" t="s">
        <v>17</v>
      </c>
      <c r="G706">
        <v>2</v>
      </c>
      <c r="H706" t="s">
        <v>25</v>
      </c>
      <c r="I706">
        <v>0</v>
      </c>
      <c r="J706">
        <v>33.608440330000001</v>
      </c>
      <c r="L706">
        <v>0.15702015</v>
      </c>
      <c r="M706">
        <v>1</v>
      </c>
      <c r="N706">
        <v>-1.123456937</v>
      </c>
    </row>
    <row r="707" spans="1:14" x14ac:dyDescent="0.3">
      <c r="A707" t="s">
        <v>201</v>
      </c>
      <c r="B707">
        <v>177</v>
      </c>
      <c r="C707" t="s">
        <v>19</v>
      </c>
      <c r="D707" t="s">
        <v>23</v>
      </c>
      <c r="E707">
        <v>1</v>
      </c>
      <c r="F707" t="s">
        <v>17</v>
      </c>
      <c r="G707">
        <v>2</v>
      </c>
      <c r="H707" t="s">
        <v>25</v>
      </c>
      <c r="I707">
        <v>0</v>
      </c>
      <c r="J707">
        <v>33.608440330000001</v>
      </c>
      <c r="L707">
        <v>0.67795793199999999</v>
      </c>
      <c r="M707">
        <v>2</v>
      </c>
      <c r="N707">
        <v>-1.344130123</v>
      </c>
    </row>
    <row r="708" spans="1:14" x14ac:dyDescent="0.3">
      <c r="A708" t="s">
        <v>201</v>
      </c>
      <c r="B708">
        <v>177</v>
      </c>
      <c r="C708" t="s">
        <v>20</v>
      </c>
      <c r="D708" t="s">
        <v>23</v>
      </c>
      <c r="E708">
        <v>1</v>
      </c>
      <c r="F708" t="s">
        <v>17</v>
      </c>
      <c r="G708">
        <v>2</v>
      </c>
      <c r="H708" t="s">
        <v>25</v>
      </c>
      <c r="I708">
        <v>0</v>
      </c>
      <c r="J708">
        <v>33.608440330000001</v>
      </c>
      <c r="K708">
        <v>39.8811933</v>
      </c>
      <c r="L708">
        <v>0.21149151299999999</v>
      </c>
      <c r="M708">
        <v>3</v>
      </c>
      <c r="N708">
        <v>-1.5231557710000001</v>
      </c>
    </row>
    <row r="709" spans="1:14" x14ac:dyDescent="0.3">
      <c r="A709" t="s">
        <v>201</v>
      </c>
      <c r="B709">
        <v>177</v>
      </c>
      <c r="C709" t="s">
        <v>21</v>
      </c>
      <c r="D709" t="s">
        <v>23</v>
      </c>
      <c r="E709">
        <v>1</v>
      </c>
      <c r="F709" t="s">
        <v>17</v>
      </c>
      <c r="G709">
        <v>2</v>
      </c>
      <c r="H709" t="s">
        <v>25</v>
      </c>
      <c r="I709">
        <v>0</v>
      </c>
      <c r="J709">
        <v>33.608440330000001</v>
      </c>
      <c r="L709">
        <v>0.72385714999999995</v>
      </c>
      <c r="M709">
        <v>4</v>
      </c>
      <c r="N709">
        <v>-0.42196821000000001</v>
      </c>
    </row>
    <row r="710" spans="1:14" x14ac:dyDescent="0.3">
      <c r="A710" t="s">
        <v>202</v>
      </c>
      <c r="B710">
        <v>178</v>
      </c>
      <c r="C710" t="s">
        <v>15</v>
      </c>
      <c r="D710" t="s">
        <v>23</v>
      </c>
      <c r="E710">
        <v>1</v>
      </c>
      <c r="F710" t="s">
        <v>17</v>
      </c>
      <c r="G710">
        <v>2</v>
      </c>
      <c r="H710" t="s">
        <v>25</v>
      </c>
      <c r="I710">
        <v>0</v>
      </c>
      <c r="J710">
        <v>42.991675559999997</v>
      </c>
      <c r="K710">
        <v>31.627076859999999</v>
      </c>
      <c r="L710">
        <v>0.783929922</v>
      </c>
      <c r="M710">
        <v>1</v>
      </c>
      <c r="N710">
        <v>1.360924464</v>
      </c>
    </row>
    <row r="711" spans="1:14" x14ac:dyDescent="0.3">
      <c r="A711" t="s">
        <v>202</v>
      </c>
      <c r="B711">
        <v>178</v>
      </c>
      <c r="C711" t="s">
        <v>19</v>
      </c>
      <c r="D711" t="s">
        <v>23</v>
      </c>
      <c r="E711">
        <v>1</v>
      </c>
      <c r="F711" t="s">
        <v>17</v>
      </c>
      <c r="G711">
        <v>2</v>
      </c>
      <c r="H711" t="s">
        <v>25</v>
      </c>
      <c r="I711">
        <v>0</v>
      </c>
      <c r="J711">
        <v>42.991675559999997</v>
      </c>
      <c r="L711">
        <v>0.37555451099999998</v>
      </c>
      <c r="M711">
        <v>2</v>
      </c>
      <c r="N711">
        <v>1.753794845</v>
      </c>
    </row>
    <row r="712" spans="1:14" x14ac:dyDescent="0.3">
      <c r="A712" t="s">
        <v>202</v>
      </c>
      <c r="B712">
        <v>178</v>
      </c>
      <c r="C712" t="s">
        <v>20</v>
      </c>
      <c r="D712" t="s">
        <v>23</v>
      </c>
      <c r="E712">
        <v>1</v>
      </c>
      <c r="F712" t="s">
        <v>17</v>
      </c>
      <c r="G712">
        <v>2</v>
      </c>
      <c r="H712" t="s">
        <v>25</v>
      </c>
      <c r="I712">
        <v>0</v>
      </c>
      <c r="J712">
        <v>42.991675559999997</v>
      </c>
      <c r="L712">
        <v>0.38744289300000001</v>
      </c>
      <c r="M712">
        <v>3</v>
      </c>
      <c r="N712">
        <v>1.568364734</v>
      </c>
    </row>
    <row r="713" spans="1:14" x14ac:dyDescent="0.3">
      <c r="A713" t="s">
        <v>202</v>
      </c>
      <c r="B713">
        <v>178</v>
      </c>
      <c r="C713" t="s">
        <v>21</v>
      </c>
      <c r="D713" t="s">
        <v>23</v>
      </c>
      <c r="E713">
        <v>1</v>
      </c>
      <c r="F713" t="s">
        <v>17</v>
      </c>
      <c r="G713">
        <v>2</v>
      </c>
      <c r="H713" t="s">
        <v>25</v>
      </c>
      <c r="I713">
        <v>0</v>
      </c>
      <c r="J713">
        <v>42.991675559999997</v>
      </c>
      <c r="K713">
        <v>48.220491989999999</v>
      </c>
      <c r="L713">
        <v>0.85083429799999999</v>
      </c>
      <c r="M713">
        <v>4</v>
      </c>
      <c r="N713">
        <v>1.29675557</v>
      </c>
    </row>
    <row r="714" spans="1:14" x14ac:dyDescent="0.3">
      <c r="A714" t="s">
        <v>203</v>
      </c>
      <c r="B714">
        <v>179</v>
      </c>
      <c r="C714" t="s">
        <v>15</v>
      </c>
      <c r="D714" t="s">
        <v>16</v>
      </c>
      <c r="E714">
        <v>2</v>
      </c>
      <c r="F714" t="s">
        <v>33</v>
      </c>
      <c r="G714">
        <v>3</v>
      </c>
      <c r="H714" t="s">
        <v>25</v>
      </c>
      <c r="I714">
        <v>0</v>
      </c>
      <c r="J714">
        <v>33.437948069999997</v>
      </c>
      <c r="K714">
        <v>42.588288300000002</v>
      </c>
      <c r="L714">
        <v>0.60964274500000004</v>
      </c>
      <c r="M714">
        <v>1</v>
      </c>
      <c r="N714">
        <v>-0.23759625100000001</v>
      </c>
    </row>
    <row r="715" spans="1:14" x14ac:dyDescent="0.3">
      <c r="A715" t="s">
        <v>203</v>
      </c>
      <c r="B715">
        <v>179</v>
      </c>
      <c r="C715" t="s">
        <v>19</v>
      </c>
      <c r="D715" t="s">
        <v>16</v>
      </c>
      <c r="E715">
        <v>2</v>
      </c>
      <c r="F715" t="s">
        <v>33</v>
      </c>
      <c r="G715">
        <v>3</v>
      </c>
      <c r="H715" t="s">
        <v>25</v>
      </c>
      <c r="I715">
        <v>0</v>
      </c>
      <c r="J715">
        <v>33.437948069999997</v>
      </c>
      <c r="L715">
        <v>0.37087356700000002</v>
      </c>
      <c r="M715">
        <v>2</v>
      </c>
      <c r="N715">
        <v>-1.224150136</v>
      </c>
    </row>
    <row r="716" spans="1:14" x14ac:dyDescent="0.3">
      <c r="A716" t="s">
        <v>203</v>
      </c>
      <c r="B716">
        <v>179</v>
      </c>
      <c r="C716" t="s">
        <v>20</v>
      </c>
      <c r="D716" t="s">
        <v>16</v>
      </c>
      <c r="E716">
        <v>2</v>
      </c>
      <c r="F716" t="s">
        <v>33</v>
      </c>
      <c r="G716">
        <v>3</v>
      </c>
      <c r="H716" t="s">
        <v>25</v>
      </c>
      <c r="I716">
        <v>0</v>
      </c>
      <c r="J716">
        <v>33.437948069999997</v>
      </c>
      <c r="K716">
        <v>49.332622180000001</v>
      </c>
      <c r="L716">
        <v>0.50901733800000004</v>
      </c>
      <c r="M716">
        <v>3</v>
      </c>
      <c r="N716">
        <v>-0.32781268000000002</v>
      </c>
    </row>
    <row r="717" spans="1:14" x14ac:dyDescent="0.3">
      <c r="A717" t="s">
        <v>203</v>
      </c>
      <c r="B717">
        <v>179</v>
      </c>
      <c r="C717" t="s">
        <v>21</v>
      </c>
      <c r="D717" t="s">
        <v>16</v>
      </c>
      <c r="E717">
        <v>2</v>
      </c>
      <c r="F717" t="s">
        <v>33</v>
      </c>
      <c r="G717">
        <v>3</v>
      </c>
      <c r="H717" t="s">
        <v>25</v>
      </c>
      <c r="I717">
        <v>0</v>
      </c>
      <c r="J717">
        <v>33.437948069999997</v>
      </c>
      <c r="K717">
        <v>53.743311490000004</v>
      </c>
      <c r="L717">
        <v>0.44973378400000003</v>
      </c>
      <c r="M717">
        <v>4</v>
      </c>
      <c r="N717">
        <v>-2.4124502759999999</v>
      </c>
    </row>
    <row r="718" spans="1:14" x14ac:dyDescent="0.3">
      <c r="A718" t="s">
        <v>204</v>
      </c>
      <c r="B718">
        <v>180</v>
      </c>
      <c r="C718" t="s">
        <v>15</v>
      </c>
      <c r="D718" t="s">
        <v>23</v>
      </c>
      <c r="E718">
        <v>1</v>
      </c>
      <c r="F718" t="s">
        <v>24</v>
      </c>
      <c r="G718">
        <v>1</v>
      </c>
      <c r="H718" t="s">
        <v>25</v>
      </c>
      <c r="I718">
        <v>0</v>
      </c>
      <c r="J718">
        <v>31.509103379999999</v>
      </c>
      <c r="K718">
        <v>29.718574140000001</v>
      </c>
      <c r="L718">
        <v>0.64552849899999998</v>
      </c>
      <c r="M718">
        <v>1</v>
      </c>
      <c r="N718">
        <v>-0.31379287300000003</v>
      </c>
    </row>
    <row r="719" spans="1:14" x14ac:dyDescent="0.3">
      <c r="A719" t="s">
        <v>204</v>
      </c>
      <c r="B719">
        <v>180</v>
      </c>
      <c r="C719" t="s">
        <v>19</v>
      </c>
      <c r="D719" t="s">
        <v>23</v>
      </c>
      <c r="E719">
        <v>1</v>
      </c>
      <c r="F719" t="s">
        <v>24</v>
      </c>
      <c r="G719">
        <v>1</v>
      </c>
      <c r="H719" t="s">
        <v>25</v>
      </c>
      <c r="I719">
        <v>0</v>
      </c>
      <c r="J719">
        <v>31.509103379999999</v>
      </c>
      <c r="K719">
        <v>30.456514810000002</v>
      </c>
      <c r="L719">
        <v>0.82644397400000003</v>
      </c>
      <c r="M719">
        <v>2</v>
      </c>
      <c r="N719">
        <v>1.6598787049999999</v>
      </c>
    </row>
    <row r="720" spans="1:14" x14ac:dyDescent="0.3">
      <c r="A720" t="s">
        <v>204</v>
      </c>
      <c r="B720">
        <v>180</v>
      </c>
      <c r="C720" t="s">
        <v>20</v>
      </c>
      <c r="D720" t="s">
        <v>23</v>
      </c>
      <c r="E720">
        <v>1</v>
      </c>
      <c r="F720" t="s">
        <v>24</v>
      </c>
      <c r="G720">
        <v>1</v>
      </c>
      <c r="H720" t="s">
        <v>25</v>
      </c>
      <c r="I720">
        <v>0</v>
      </c>
      <c r="J720">
        <v>31.509103379999999</v>
      </c>
      <c r="K720">
        <v>38.298000500000001</v>
      </c>
      <c r="L720">
        <v>0.243205858</v>
      </c>
      <c r="M720">
        <v>3</v>
      </c>
      <c r="N720">
        <v>0.13095310099999999</v>
      </c>
    </row>
    <row r="721" spans="1:14" x14ac:dyDescent="0.3">
      <c r="A721" t="s">
        <v>204</v>
      </c>
      <c r="B721">
        <v>180</v>
      </c>
      <c r="C721" t="s">
        <v>21</v>
      </c>
      <c r="D721" t="s">
        <v>23</v>
      </c>
      <c r="E721">
        <v>1</v>
      </c>
      <c r="F721" t="s">
        <v>24</v>
      </c>
      <c r="G721">
        <v>1</v>
      </c>
      <c r="H721" t="s">
        <v>25</v>
      </c>
      <c r="I721">
        <v>0</v>
      </c>
      <c r="J721">
        <v>31.509103379999999</v>
      </c>
      <c r="L721">
        <v>0.31147518800000001</v>
      </c>
      <c r="M721">
        <v>4</v>
      </c>
      <c r="N721">
        <v>1.0958886830000001</v>
      </c>
    </row>
    <row r="722" spans="1:14" x14ac:dyDescent="0.3">
      <c r="A722" t="s">
        <v>205</v>
      </c>
      <c r="B722">
        <v>181</v>
      </c>
      <c r="C722" t="s">
        <v>15</v>
      </c>
      <c r="D722" t="s">
        <v>23</v>
      </c>
      <c r="E722">
        <v>1</v>
      </c>
      <c r="F722" t="s">
        <v>24</v>
      </c>
      <c r="G722">
        <v>1</v>
      </c>
      <c r="H722" t="s">
        <v>18</v>
      </c>
      <c r="I722">
        <v>1</v>
      </c>
      <c r="J722">
        <v>34.9333466</v>
      </c>
      <c r="K722">
        <v>36.810396400000002</v>
      </c>
      <c r="L722">
        <v>0.38281926700000002</v>
      </c>
      <c r="M722">
        <v>1</v>
      </c>
      <c r="N722">
        <v>0.48934095700000002</v>
      </c>
    </row>
    <row r="723" spans="1:14" x14ac:dyDescent="0.3">
      <c r="A723" t="s">
        <v>205</v>
      </c>
      <c r="B723">
        <v>181</v>
      </c>
      <c r="C723" t="s">
        <v>19</v>
      </c>
      <c r="D723" t="s">
        <v>23</v>
      </c>
      <c r="E723">
        <v>1</v>
      </c>
      <c r="F723" t="s">
        <v>24</v>
      </c>
      <c r="G723">
        <v>1</v>
      </c>
      <c r="H723" t="s">
        <v>18</v>
      </c>
      <c r="I723">
        <v>1</v>
      </c>
      <c r="J723">
        <v>34.9333466</v>
      </c>
      <c r="L723">
        <v>0.124274598</v>
      </c>
      <c r="M723">
        <v>2</v>
      </c>
      <c r="N723">
        <v>-0.77891029499999997</v>
      </c>
    </row>
    <row r="724" spans="1:14" x14ac:dyDescent="0.3">
      <c r="A724" t="s">
        <v>205</v>
      </c>
      <c r="B724">
        <v>181</v>
      </c>
      <c r="C724" t="s">
        <v>20</v>
      </c>
      <c r="D724" t="s">
        <v>23</v>
      </c>
      <c r="E724">
        <v>1</v>
      </c>
      <c r="F724" t="s">
        <v>24</v>
      </c>
      <c r="G724">
        <v>1</v>
      </c>
      <c r="H724" t="s">
        <v>18</v>
      </c>
      <c r="I724">
        <v>1</v>
      </c>
      <c r="J724">
        <v>34.9333466</v>
      </c>
      <c r="K724">
        <v>42.350448489999998</v>
      </c>
      <c r="L724">
        <v>0.12794298900000001</v>
      </c>
      <c r="M724">
        <v>3</v>
      </c>
      <c r="N724">
        <v>1.743559353</v>
      </c>
    </row>
    <row r="725" spans="1:14" x14ac:dyDescent="0.3">
      <c r="A725" t="s">
        <v>205</v>
      </c>
      <c r="B725">
        <v>181</v>
      </c>
      <c r="C725" t="s">
        <v>21</v>
      </c>
      <c r="D725" t="s">
        <v>23</v>
      </c>
      <c r="E725">
        <v>1</v>
      </c>
      <c r="F725" t="s">
        <v>24</v>
      </c>
      <c r="G725">
        <v>1</v>
      </c>
      <c r="H725" t="s">
        <v>18</v>
      </c>
      <c r="I725">
        <v>1</v>
      </c>
      <c r="J725">
        <v>34.9333466</v>
      </c>
      <c r="K725">
        <v>39.398604820000003</v>
      </c>
      <c r="L725">
        <v>0.17282863400000001</v>
      </c>
      <c r="M725">
        <v>4</v>
      </c>
      <c r="N725">
        <v>-7.8387285000000001E-2</v>
      </c>
    </row>
    <row r="726" spans="1:14" x14ac:dyDescent="0.3">
      <c r="A726" t="s">
        <v>206</v>
      </c>
      <c r="B726">
        <v>182</v>
      </c>
      <c r="C726" t="s">
        <v>15</v>
      </c>
      <c r="D726" t="s">
        <v>16</v>
      </c>
      <c r="E726">
        <v>2</v>
      </c>
      <c r="F726" t="s">
        <v>17</v>
      </c>
      <c r="G726">
        <v>2</v>
      </c>
      <c r="H726" t="s">
        <v>18</v>
      </c>
      <c r="I726">
        <v>1</v>
      </c>
      <c r="J726">
        <v>48.42477667</v>
      </c>
      <c r="L726">
        <v>0.59084506699999995</v>
      </c>
      <c r="M726">
        <v>1</v>
      </c>
      <c r="N726">
        <v>-0.975553793</v>
      </c>
    </row>
    <row r="727" spans="1:14" x14ac:dyDescent="0.3">
      <c r="A727" t="s">
        <v>206</v>
      </c>
      <c r="B727">
        <v>182</v>
      </c>
      <c r="C727" t="s">
        <v>19</v>
      </c>
      <c r="D727" t="s">
        <v>16</v>
      </c>
      <c r="E727">
        <v>2</v>
      </c>
      <c r="F727" t="s">
        <v>17</v>
      </c>
      <c r="G727">
        <v>2</v>
      </c>
      <c r="H727" t="s">
        <v>18</v>
      </c>
      <c r="I727">
        <v>1</v>
      </c>
      <c r="J727">
        <v>48.42477667</v>
      </c>
      <c r="L727">
        <v>0.115762505</v>
      </c>
      <c r="M727">
        <v>2</v>
      </c>
      <c r="N727">
        <v>7.0659824999999996E-2</v>
      </c>
    </row>
    <row r="728" spans="1:14" x14ac:dyDescent="0.3">
      <c r="A728" t="s">
        <v>206</v>
      </c>
      <c r="B728">
        <v>182</v>
      </c>
      <c r="C728" t="s">
        <v>20</v>
      </c>
      <c r="D728" t="s">
        <v>16</v>
      </c>
      <c r="E728">
        <v>2</v>
      </c>
      <c r="F728" t="s">
        <v>17</v>
      </c>
      <c r="G728">
        <v>2</v>
      </c>
      <c r="H728" t="s">
        <v>18</v>
      </c>
      <c r="I728">
        <v>1</v>
      </c>
      <c r="J728">
        <v>48.42477667</v>
      </c>
      <c r="K728">
        <v>49.736287920000002</v>
      </c>
      <c r="L728">
        <v>0.43984195599999998</v>
      </c>
      <c r="M728">
        <v>3</v>
      </c>
      <c r="N728">
        <v>-1.5185995290000001</v>
      </c>
    </row>
    <row r="729" spans="1:14" x14ac:dyDescent="0.3">
      <c r="A729" t="s">
        <v>206</v>
      </c>
      <c r="B729">
        <v>182</v>
      </c>
      <c r="C729" t="s">
        <v>21</v>
      </c>
      <c r="D729" t="s">
        <v>16</v>
      </c>
      <c r="E729">
        <v>2</v>
      </c>
      <c r="F729" t="s">
        <v>17</v>
      </c>
      <c r="G729">
        <v>2</v>
      </c>
      <c r="H729" t="s">
        <v>18</v>
      </c>
      <c r="I729">
        <v>1</v>
      </c>
      <c r="J729">
        <v>48.42477667</v>
      </c>
      <c r="K729">
        <v>41.580817209999999</v>
      </c>
      <c r="L729">
        <v>0.164195691</v>
      </c>
      <c r="M729">
        <v>4</v>
      </c>
      <c r="N729">
        <v>0.86377903300000003</v>
      </c>
    </row>
    <row r="730" spans="1:14" x14ac:dyDescent="0.3">
      <c r="A730" t="s">
        <v>207</v>
      </c>
      <c r="B730">
        <v>183</v>
      </c>
      <c r="C730" t="s">
        <v>15</v>
      </c>
      <c r="D730" t="s">
        <v>16</v>
      </c>
      <c r="E730">
        <v>2</v>
      </c>
      <c r="F730" t="s">
        <v>17</v>
      </c>
      <c r="G730">
        <v>2</v>
      </c>
      <c r="H730" t="s">
        <v>18</v>
      </c>
      <c r="I730">
        <v>1</v>
      </c>
      <c r="J730">
        <v>30.208779669999998</v>
      </c>
      <c r="K730">
        <v>43.589010420000001</v>
      </c>
      <c r="L730">
        <v>0.50569984999999995</v>
      </c>
      <c r="M730">
        <v>1</v>
      </c>
      <c r="N730">
        <v>0.50156838500000001</v>
      </c>
    </row>
    <row r="731" spans="1:14" x14ac:dyDescent="0.3">
      <c r="A731" t="s">
        <v>207</v>
      </c>
      <c r="B731">
        <v>183</v>
      </c>
      <c r="C731" t="s">
        <v>19</v>
      </c>
      <c r="D731" t="s">
        <v>16</v>
      </c>
      <c r="E731">
        <v>2</v>
      </c>
      <c r="F731" t="s">
        <v>17</v>
      </c>
      <c r="G731">
        <v>2</v>
      </c>
      <c r="H731" t="s">
        <v>18</v>
      </c>
      <c r="I731">
        <v>1</v>
      </c>
      <c r="J731">
        <v>30.208779669999998</v>
      </c>
      <c r="K731">
        <v>40.167615480000002</v>
      </c>
      <c r="L731">
        <v>0.52805455000000001</v>
      </c>
      <c r="M731">
        <v>2</v>
      </c>
      <c r="N731">
        <v>-0.35478133000000001</v>
      </c>
    </row>
    <row r="732" spans="1:14" x14ac:dyDescent="0.3">
      <c r="A732" t="s">
        <v>207</v>
      </c>
      <c r="B732">
        <v>183</v>
      </c>
      <c r="C732" t="s">
        <v>20</v>
      </c>
      <c r="D732" t="s">
        <v>16</v>
      </c>
      <c r="E732">
        <v>2</v>
      </c>
      <c r="F732" t="s">
        <v>17</v>
      </c>
      <c r="G732">
        <v>2</v>
      </c>
      <c r="H732" t="s">
        <v>18</v>
      </c>
      <c r="I732">
        <v>1</v>
      </c>
      <c r="J732">
        <v>30.208779669999998</v>
      </c>
      <c r="L732">
        <v>0.69383426000000004</v>
      </c>
      <c r="M732">
        <v>3</v>
      </c>
      <c r="N732">
        <v>-0.48842888800000001</v>
      </c>
    </row>
    <row r="733" spans="1:14" x14ac:dyDescent="0.3">
      <c r="A733" t="s">
        <v>207</v>
      </c>
      <c r="B733">
        <v>183</v>
      </c>
      <c r="C733" t="s">
        <v>21</v>
      </c>
      <c r="D733" t="s">
        <v>16</v>
      </c>
      <c r="E733">
        <v>2</v>
      </c>
      <c r="F733" t="s">
        <v>17</v>
      </c>
      <c r="G733">
        <v>2</v>
      </c>
      <c r="H733" t="s">
        <v>18</v>
      </c>
      <c r="I733">
        <v>1</v>
      </c>
      <c r="J733">
        <v>30.208779669999998</v>
      </c>
      <c r="L733">
        <v>0.61172734200000001</v>
      </c>
      <c r="M733">
        <v>4</v>
      </c>
      <c r="N733">
        <v>0.93629394700000002</v>
      </c>
    </row>
    <row r="734" spans="1:14" x14ac:dyDescent="0.3">
      <c r="A734" t="s">
        <v>208</v>
      </c>
      <c r="B734">
        <v>184</v>
      </c>
      <c r="C734" t="s">
        <v>15</v>
      </c>
      <c r="D734" t="s">
        <v>16</v>
      </c>
      <c r="E734">
        <v>2</v>
      </c>
      <c r="F734" t="s">
        <v>33</v>
      </c>
      <c r="G734">
        <v>3</v>
      </c>
      <c r="H734" t="s">
        <v>18</v>
      </c>
      <c r="I734">
        <v>1</v>
      </c>
      <c r="J734">
        <v>59.12312696</v>
      </c>
      <c r="L734">
        <v>0.59745317200000003</v>
      </c>
      <c r="M734">
        <v>1</v>
      </c>
      <c r="N734">
        <v>-1.062408386</v>
      </c>
    </row>
    <row r="735" spans="1:14" x14ac:dyDescent="0.3">
      <c r="A735" t="s">
        <v>208</v>
      </c>
      <c r="B735">
        <v>184</v>
      </c>
      <c r="C735" t="s">
        <v>19</v>
      </c>
      <c r="D735" t="s">
        <v>16</v>
      </c>
      <c r="E735">
        <v>2</v>
      </c>
      <c r="F735" t="s">
        <v>33</v>
      </c>
      <c r="G735">
        <v>3</v>
      </c>
      <c r="H735" t="s">
        <v>18</v>
      </c>
      <c r="I735">
        <v>1</v>
      </c>
      <c r="J735">
        <v>59.12312696</v>
      </c>
      <c r="K735">
        <v>41.082056350000002</v>
      </c>
      <c r="L735">
        <v>0.78697812099999997</v>
      </c>
      <c r="M735">
        <v>2</v>
      </c>
      <c r="N735">
        <v>-0.98382087200000001</v>
      </c>
    </row>
    <row r="736" spans="1:14" x14ac:dyDescent="0.3">
      <c r="A736" t="s">
        <v>208</v>
      </c>
      <c r="B736">
        <v>184</v>
      </c>
      <c r="C736" t="s">
        <v>20</v>
      </c>
      <c r="D736" t="s">
        <v>16</v>
      </c>
      <c r="E736">
        <v>2</v>
      </c>
      <c r="F736" t="s">
        <v>33</v>
      </c>
      <c r="G736">
        <v>3</v>
      </c>
      <c r="H736" t="s">
        <v>18</v>
      </c>
      <c r="I736">
        <v>1</v>
      </c>
      <c r="J736">
        <v>59.12312696</v>
      </c>
      <c r="L736">
        <v>0.86190206000000003</v>
      </c>
      <c r="M736">
        <v>3</v>
      </c>
      <c r="N736">
        <v>0.424247877</v>
      </c>
    </row>
    <row r="737" spans="1:14" x14ac:dyDescent="0.3">
      <c r="A737" t="s">
        <v>208</v>
      </c>
      <c r="B737">
        <v>184</v>
      </c>
      <c r="C737" t="s">
        <v>21</v>
      </c>
      <c r="D737" t="s">
        <v>16</v>
      </c>
      <c r="E737">
        <v>2</v>
      </c>
      <c r="F737" t="s">
        <v>33</v>
      </c>
      <c r="G737">
        <v>3</v>
      </c>
      <c r="H737" t="s">
        <v>18</v>
      </c>
      <c r="I737">
        <v>1</v>
      </c>
      <c r="J737">
        <v>59.12312696</v>
      </c>
      <c r="K737">
        <v>69.374086149999997</v>
      </c>
      <c r="L737">
        <v>0.59788939299999999</v>
      </c>
      <c r="M737">
        <v>4</v>
      </c>
      <c r="N737">
        <v>-0.45131348100000002</v>
      </c>
    </row>
    <row r="738" spans="1:14" x14ac:dyDescent="0.3">
      <c r="A738" t="s">
        <v>209</v>
      </c>
      <c r="B738">
        <v>185</v>
      </c>
      <c r="C738" t="s">
        <v>15</v>
      </c>
      <c r="D738" t="s">
        <v>23</v>
      </c>
      <c r="E738">
        <v>1</v>
      </c>
      <c r="F738" t="s">
        <v>17</v>
      </c>
      <c r="G738">
        <v>2</v>
      </c>
      <c r="H738" t="s">
        <v>18</v>
      </c>
      <c r="I738">
        <v>1</v>
      </c>
      <c r="J738">
        <v>49.860603040000001</v>
      </c>
      <c r="L738">
        <v>0.69952297900000004</v>
      </c>
      <c r="M738">
        <v>1</v>
      </c>
      <c r="N738">
        <v>0.92508479700000001</v>
      </c>
    </row>
    <row r="739" spans="1:14" x14ac:dyDescent="0.3">
      <c r="A739" t="s">
        <v>209</v>
      </c>
      <c r="B739">
        <v>185</v>
      </c>
      <c r="C739" t="s">
        <v>19</v>
      </c>
      <c r="D739" t="s">
        <v>23</v>
      </c>
      <c r="E739">
        <v>1</v>
      </c>
      <c r="F739" t="s">
        <v>17</v>
      </c>
      <c r="G739">
        <v>2</v>
      </c>
      <c r="H739" t="s">
        <v>18</v>
      </c>
      <c r="I739">
        <v>1</v>
      </c>
      <c r="J739">
        <v>49.860603040000001</v>
      </c>
      <c r="K739">
        <v>41.27624531</v>
      </c>
      <c r="L739">
        <v>0.19186632000000001</v>
      </c>
      <c r="M739">
        <v>2</v>
      </c>
      <c r="N739">
        <v>-0.19862081000000001</v>
      </c>
    </row>
    <row r="740" spans="1:14" x14ac:dyDescent="0.3">
      <c r="A740" t="s">
        <v>209</v>
      </c>
      <c r="B740">
        <v>185</v>
      </c>
      <c r="C740" t="s">
        <v>20</v>
      </c>
      <c r="D740" t="s">
        <v>23</v>
      </c>
      <c r="E740">
        <v>1</v>
      </c>
      <c r="F740" t="s">
        <v>17</v>
      </c>
      <c r="G740">
        <v>2</v>
      </c>
      <c r="H740" t="s">
        <v>18</v>
      </c>
      <c r="I740">
        <v>1</v>
      </c>
      <c r="J740">
        <v>49.860603040000001</v>
      </c>
      <c r="K740">
        <v>44.761382810000001</v>
      </c>
      <c r="L740">
        <v>0.412552957</v>
      </c>
      <c r="M740">
        <v>3</v>
      </c>
      <c r="N740">
        <v>1.194851017</v>
      </c>
    </row>
    <row r="741" spans="1:14" x14ac:dyDescent="0.3">
      <c r="A741" t="s">
        <v>209</v>
      </c>
      <c r="B741">
        <v>185</v>
      </c>
      <c r="C741" t="s">
        <v>21</v>
      </c>
      <c r="D741" t="s">
        <v>23</v>
      </c>
      <c r="E741">
        <v>1</v>
      </c>
      <c r="F741" t="s">
        <v>17</v>
      </c>
      <c r="G741">
        <v>2</v>
      </c>
      <c r="H741" t="s">
        <v>18</v>
      </c>
      <c r="I741">
        <v>1</v>
      </c>
      <c r="J741">
        <v>49.860603040000001</v>
      </c>
      <c r="K741">
        <v>39.69815492</v>
      </c>
      <c r="L741">
        <v>0.834202255</v>
      </c>
      <c r="M741">
        <v>4</v>
      </c>
      <c r="N741">
        <v>0.49554470499999997</v>
      </c>
    </row>
    <row r="742" spans="1:14" x14ac:dyDescent="0.3">
      <c r="A742" t="s">
        <v>210</v>
      </c>
      <c r="B742">
        <v>186</v>
      </c>
      <c r="C742" t="s">
        <v>15</v>
      </c>
      <c r="D742" t="s">
        <v>23</v>
      </c>
      <c r="E742">
        <v>1</v>
      </c>
      <c r="F742" t="s">
        <v>33</v>
      </c>
      <c r="G742">
        <v>3</v>
      </c>
      <c r="H742" t="s">
        <v>25</v>
      </c>
      <c r="I742">
        <v>0</v>
      </c>
      <c r="J742">
        <v>50.02594801</v>
      </c>
      <c r="K742">
        <v>38.442958789999999</v>
      </c>
      <c r="L742">
        <v>0.45356022499999998</v>
      </c>
      <c r="M742">
        <v>1</v>
      </c>
      <c r="N742">
        <v>-2.245152574</v>
      </c>
    </row>
    <row r="743" spans="1:14" x14ac:dyDescent="0.3">
      <c r="A743" t="s">
        <v>210</v>
      </c>
      <c r="B743">
        <v>186</v>
      </c>
      <c r="C743" t="s">
        <v>19</v>
      </c>
      <c r="D743" t="s">
        <v>23</v>
      </c>
      <c r="E743">
        <v>1</v>
      </c>
      <c r="F743" t="s">
        <v>33</v>
      </c>
      <c r="G743">
        <v>3</v>
      </c>
      <c r="H743" t="s">
        <v>25</v>
      </c>
      <c r="I743">
        <v>0</v>
      </c>
      <c r="J743">
        <v>50.02594801</v>
      </c>
      <c r="K743">
        <v>48.205857780000002</v>
      </c>
      <c r="L743">
        <v>0.153104763</v>
      </c>
      <c r="M743">
        <v>2</v>
      </c>
      <c r="N743">
        <v>-1.3353713599999999</v>
      </c>
    </row>
    <row r="744" spans="1:14" x14ac:dyDescent="0.3">
      <c r="A744" t="s">
        <v>210</v>
      </c>
      <c r="B744">
        <v>186</v>
      </c>
      <c r="C744" t="s">
        <v>20</v>
      </c>
      <c r="D744" t="s">
        <v>23</v>
      </c>
      <c r="E744">
        <v>1</v>
      </c>
      <c r="F744" t="s">
        <v>33</v>
      </c>
      <c r="G744">
        <v>3</v>
      </c>
      <c r="H744" t="s">
        <v>25</v>
      </c>
      <c r="I744">
        <v>0</v>
      </c>
      <c r="J744">
        <v>50.02594801</v>
      </c>
      <c r="L744">
        <v>0.86445522600000002</v>
      </c>
      <c r="M744">
        <v>3</v>
      </c>
      <c r="N744">
        <v>1.2827752059999999</v>
      </c>
    </row>
    <row r="745" spans="1:14" x14ac:dyDescent="0.3">
      <c r="A745" t="s">
        <v>210</v>
      </c>
      <c r="B745">
        <v>186</v>
      </c>
      <c r="C745" t="s">
        <v>21</v>
      </c>
      <c r="D745" t="s">
        <v>23</v>
      </c>
      <c r="E745">
        <v>1</v>
      </c>
      <c r="F745" t="s">
        <v>33</v>
      </c>
      <c r="G745">
        <v>3</v>
      </c>
      <c r="H745" t="s">
        <v>25</v>
      </c>
      <c r="I745">
        <v>0</v>
      </c>
      <c r="J745">
        <v>50.02594801</v>
      </c>
      <c r="K745">
        <v>35.507348630000003</v>
      </c>
      <c r="L745">
        <v>0.85486962200000005</v>
      </c>
      <c r="M745">
        <v>4</v>
      </c>
      <c r="N745">
        <v>0.69079590400000002</v>
      </c>
    </row>
    <row r="746" spans="1:14" x14ac:dyDescent="0.3">
      <c r="A746" t="s">
        <v>211</v>
      </c>
      <c r="B746">
        <v>187</v>
      </c>
      <c r="C746" t="s">
        <v>15</v>
      </c>
      <c r="D746" t="s">
        <v>23</v>
      </c>
      <c r="E746">
        <v>1</v>
      </c>
      <c r="F746" t="s">
        <v>17</v>
      </c>
      <c r="G746">
        <v>2</v>
      </c>
      <c r="H746" t="s">
        <v>18</v>
      </c>
      <c r="I746">
        <v>1</v>
      </c>
      <c r="J746">
        <v>37.655450449999996</v>
      </c>
      <c r="K746">
        <v>32.081527870000002</v>
      </c>
      <c r="L746">
        <v>0.64504592599999999</v>
      </c>
      <c r="M746">
        <v>1</v>
      </c>
      <c r="N746">
        <v>-0.96706266799999996</v>
      </c>
    </row>
    <row r="747" spans="1:14" x14ac:dyDescent="0.3">
      <c r="A747" t="s">
        <v>211</v>
      </c>
      <c r="B747">
        <v>187</v>
      </c>
      <c r="C747" t="s">
        <v>19</v>
      </c>
      <c r="D747" t="s">
        <v>23</v>
      </c>
      <c r="E747">
        <v>1</v>
      </c>
      <c r="F747" t="s">
        <v>17</v>
      </c>
      <c r="G747">
        <v>2</v>
      </c>
      <c r="H747" t="s">
        <v>18</v>
      </c>
      <c r="I747">
        <v>1</v>
      </c>
      <c r="J747">
        <v>37.655450449999996</v>
      </c>
      <c r="L747">
        <v>0.14402763199999999</v>
      </c>
      <c r="M747">
        <v>2</v>
      </c>
      <c r="N747">
        <v>-1.3457936850000001</v>
      </c>
    </row>
    <row r="748" spans="1:14" x14ac:dyDescent="0.3">
      <c r="A748" t="s">
        <v>211</v>
      </c>
      <c r="B748">
        <v>187</v>
      </c>
      <c r="C748" t="s">
        <v>20</v>
      </c>
      <c r="D748" t="s">
        <v>23</v>
      </c>
      <c r="E748">
        <v>1</v>
      </c>
      <c r="F748" t="s">
        <v>17</v>
      </c>
      <c r="G748">
        <v>2</v>
      </c>
      <c r="H748" t="s">
        <v>18</v>
      </c>
      <c r="I748">
        <v>1</v>
      </c>
      <c r="J748">
        <v>37.655450449999996</v>
      </c>
      <c r="L748">
        <v>0.67569251600000002</v>
      </c>
      <c r="M748">
        <v>3</v>
      </c>
      <c r="N748">
        <v>1.033665389</v>
      </c>
    </row>
    <row r="749" spans="1:14" x14ac:dyDescent="0.3">
      <c r="A749" t="s">
        <v>211</v>
      </c>
      <c r="B749">
        <v>187</v>
      </c>
      <c r="C749" t="s">
        <v>21</v>
      </c>
      <c r="D749" t="s">
        <v>23</v>
      </c>
      <c r="E749">
        <v>1</v>
      </c>
      <c r="F749" t="s">
        <v>17</v>
      </c>
      <c r="G749">
        <v>2</v>
      </c>
      <c r="H749" t="s">
        <v>18</v>
      </c>
      <c r="I749">
        <v>1</v>
      </c>
      <c r="J749">
        <v>37.655450449999996</v>
      </c>
      <c r="L749">
        <v>0.36238196</v>
      </c>
      <c r="M749">
        <v>4</v>
      </c>
      <c r="N749">
        <v>-0.81177646000000003</v>
      </c>
    </row>
    <row r="750" spans="1:14" x14ac:dyDescent="0.3">
      <c r="A750" t="s">
        <v>212</v>
      </c>
      <c r="B750">
        <v>188</v>
      </c>
      <c r="C750" t="s">
        <v>15</v>
      </c>
      <c r="D750" t="s">
        <v>23</v>
      </c>
      <c r="E750">
        <v>1</v>
      </c>
      <c r="F750" t="s">
        <v>17</v>
      </c>
      <c r="G750">
        <v>2</v>
      </c>
      <c r="H750" t="s">
        <v>18</v>
      </c>
      <c r="I750">
        <v>1</v>
      </c>
      <c r="J750">
        <v>53.650773999999998</v>
      </c>
      <c r="K750">
        <v>44.692560589999999</v>
      </c>
      <c r="L750">
        <v>0.69784084999999996</v>
      </c>
      <c r="M750">
        <v>1</v>
      </c>
      <c r="N750">
        <v>1.8017254789999999</v>
      </c>
    </row>
    <row r="751" spans="1:14" x14ac:dyDescent="0.3">
      <c r="A751" t="s">
        <v>212</v>
      </c>
      <c r="B751">
        <v>188</v>
      </c>
      <c r="C751" t="s">
        <v>19</v>
      </c>
      <c r="D751" t="s">
        <v>23</v>
      </c>
      <c r="E751">
        <v>1</v>
      </c>
      <c r="F751" t="s">
        <v>17</v>
      </c>
      <c r="G751">
        <v>2</v>
      </c>
      <c r="H751" t="s">
        <v>18</v>
      </c>
      <c r="I751">
        <v>1</v>
      </c>
      <c r="J751">
        <v>53.650773999999998</v>
      </c>
      <c r="L751">
        <v>0.85261639</v>
      </c>
      <c r="M751">
        <v>2</v>
      </c>
      <c r="N751">
        <v>1.77154196</v>
      </c>
    </row>
    <row r="752" spans="1:14" x14ac:dyDescent="0.3">
      <c r="A752" t="s">
        <v>212</v>
      </c>
      <c r="B752">
        <v>188</v>
      </c>
      <c r="C752" t="s">
        <v>20</v>
      </c>
      <c r="D752" t="s">
        <v>23</v>
      </c>
      <c r="E752">
        <v>1</v>
      </c>
      <c r="F752" t="s">
        <v>17</v>
      </c>
      <c r="G752">
        <v>2</v>
      </c>
      <c r="H752" t="s">
        <v>18</v>
      </c>
      <c r="I752">
        <v>1</v>
      </c>
      <c r="J752">
        <v>53.650773999999998</v>
      </c>
      <c r="K752">
        <v>42.18689397</v>
      </c>
      <c r="L752">
        <v>0.27441492499999998</v>
      </c>
      <c r="M752">
        <v>3</v>
      </c>
      <c r="N752">
        <v>-1.4546913699999999</v>
      </c>
    </row>
    <row r="753" spans="1:14" x14ac:dyDescent="0.3">
      <c r="A753" t="s">
        <v>212</v>
      </c>
      <c r="B753">
        <v>188</v>
      </c>
      <c r="C753" t="s">
        <v>21</v>
      </c>
      <c r="D753" t="s">
        <v>23</v>
      </c>
      <c r="E753">
        <v>1</v>
      </c>
      <c r="F753" t="s">
        <v>17</v>
      </c>
      <c r="G753">
        <v>2</v>
      </c>
      <c r="H753" t="s">
        <v>18</v>
      </c>
      <c r="I753">
        <v>1</v>
      </c>
      <c r="J753">
        <v>53.650773999999998</v>
      </c>
      <c r="L753">
        <v>0.69380242199999997</v>
      </c>
      <c r="M753">
        <v>4</v>
      </c>
      <c r="N753">
        <v>-0.84565431300000005</v>
      </c>
    </row>
    <row r="754" spans="1:14" x14ac:dyDescent="0.3">
      <c r="A754" t="s">
        <v>213</v>
      </c>
      <c r="B754">
        <v>189</v>
      </c>
      <c r="C754" t="s">
        <v>15</v>
      </c>
      <c r="D754" t="s">
        <v>16</v>
      </c>
      <c r="E754">
        <v>2</v>
      </c>
      <c r="F754" t="s">
        <v>24</v>
      </c>
      <c r="G754">
        <v>1</v>
      </c>
      <c r="H754" t="s">
        <v>18</v>
      </c>
      <c r="I754">
        <v>1</v>
      </c>
      <c r="J754">
        <v>48.000041600000003</v>
      </c>
      <c r="K754">
        <v>37.01740581</v>
      </c>
      <c r="L754">
        <v>0.80212090599999997</v>
      </c>
      <c r="M754">
        <v>1</v>
      </c>
      <c r="N754">
        <v>-1.250479659</v>
      </c>
    </row>
    <row r="755" spans="1:14" x14ac:dyDescent="0.3">
      <c r="A755" t="s">
        <v>213</v>
      </c>
      <c r="B755">
        <v>189</v>
      </c>
      <c r="C755" t="s">
        <v>19</v>
      </c>
      <c r="D755" t="s">
        <v>16</v>
      </c>
      <c r="E755">
        <v>2</v>
      </c>
      <c r="F755" t="s">
        <v>24</v>
      </c>
      <c r="G755">
        <v>1</v>
      </c>
      <c r="H755" t="s">
        <v>18</v>
      </c>
      <c r="I755">
        <v>1</v>
      </c>
      <c r="J755">
        <v>48.000041600000003</v>
      </c>
      <c r="K755">
        <v>38.269197329999997</v>
      </c>
      <c r="L755">
        <v>0.46425239800000001</v>
      </c>
      <c r="M755">
        <v>2</v>
      </c>
      <c r="N755">
        <v>0.66728806799999996</v>
      </c>
    </row>
    <row r="756" spans="1:14" x14ac:dyDescent="0.3">
      <c r="A756" t="s">
        <v>213</v>
      </c>
      <c r="B756">
        <v>189</v>
      </c>
      <c r="C756" t="s">
        <v>20</v>
      </c>
      <c r="D756" t="s">
        <v>16</v>
      </c>
      <c r="E756">
        <v>2</v>
      </c>
      <c r="F756" t="s">
        <v>24</v>
      </c>
      <c r="G756">
        <v>1</v>
      </c>
      <c r="H756" t="s">
        <v>18</v>
      </c>
      <c r="I756">
        <v>1</v>
      </c>
      <c r="J756">
        <v>48.000041600000003</v>
      </c>
      <c r="K756">
        <v>49.28805689</v>
      </c>
      <c r="L756">
        <v>0.119786807</v>
      </c>
      <c r="M756">
        <v>3</v>
      </c>
      <c r="N756">
        <v>-1.2907696879999999</v>
      </c>
    </row>
    <row r="757" spans="1:14" x14ac:dyDescent="0.3">
      <c r="A757" t="s">
        <v>213</v>
      </c>
      <c r="B757">
        <v>189</v>
      </c>
      <c r="C757" t="s">
        <v>21</v>
      </c>
      <c r="D757" t="s">
        <v>16</v>
      </c>
      <c r="E757">
        <v>2</v>
      </c>
      <c r="F757" t="s">
        <v>24</v>
      </c>
      <c r="G757">
        <v>1</v>
      </c>
      <c r="H757" t="s">
        <v>18</v>
      </c>
      <c r="I757">
        <v>1</v>
      </c>
      <c r="J757">
        <v>48.000041600000003</v>
      </c>
      <c r="L757">
        <v>0.31514746900000001</v>
      </c>
      <c r="M757">
        <v>4</v>
      </c>
      <c r="N757">
        <v>-2.0350035379999998</v>
      </c>
    </row>
    <row r="758" spans="1:14" x14ac:dyDescent="0.3">
      <c r="A758" t="s">
        <v>214</v>
      </c>
      <c r="B758">
        <v>190</v>
      </c>
      <c r="C758" t="s">
        <v>15</v>
      </c>
      <c r="D758" t="s">
        <v>16</v>
      </c>
      <c r="E758">
        <v>2</v>
      </c>
      <c r="F758" t="s">
        <v>17</v>
      </c>
      <c r="G758">
        <v>2</v>
      </c>
      <c r="H758" t="s">
        <v>18</v>
      </c>
      <c r="I758">
        <v>1</v>
      </c>
      <c r="J758">
        <v>45.597075650000001</v>
      </c>
      <c r="K758">
        <v>40.459533110000002</v>
      </c>
      <c r="L758">
        <v>0.72328319799999996</v>
      </c>
      <c r="M758">
        <v>1</v>
      </c>
      <c r="N758">
        <v>2.021346994</v>
      </c>
    </row>
    <row r="759" spans="1:14" x14ac:dyDescent="0.3">
      <c r="A759" t="s">
        <v>214</v>
      </c>
      <c r="B759">
        <v>190</v>
      </c>
      <c r="C759" t="s">
        <v>19</v>
      </c>
      <c r="D759" t="s">
        <v>16</v>
      </c>
      <c r="E759">
        <v>2</v>
      </c>
      <c r="F759" t="s">
        <v>17</v>
      </c>
      <c r="G759">
        <v>2</v>
      </c>
      <c r="H759" t="s">
        <v>18</v>
      </c>
      <c r="I759">
        <v>1</v>
      </c>
      <c r="J759">
        <v>45.597075650000001</v>
      </c>
      <c r="K759">
        <v>45.103365199999999</v>
      </c>
      <c r="L759">
        <v>0.67090129499999995</v>
      </c>
      <c r="M759">
        <v>2</v>
      </c>
      <c r="N759">
        <v>1.005973488</v>
      </c>
    </row>
    <row r="760" spans="1:14" x14ac:dyDescent="0.3">
      <c r="A760" t="s">
        <v>214</v>
      </c>
      <c r="B760">
        <v>190</v>
      </c>
      <c r="C760" t="s">
        <v>20</v>
      </c>
      <c r="D760" t="s">
        <v>16</v>
      </c>
      <c r="E760">
        <v>2</v>
      </c>
      <c r="F760" t="s">
        <v>17</v>
      </c>
      <c r="G760">
        <v>2</v>
      </c>
      <c r="H760" t="s">
        <v>18</v>
      </c>
      <c r="I760">
        <v>1</v>
      </c>
      <c r="J760">
        <v>45.597075650000001</v>
      </c>
      <c r="K760">
        <v>45.582497320000002</v>
      </c>
      <c r="L760">
        <v>0.89046584200000001</v>
      </c>
      <c r="M760">
        <v>3</v>
      </c>
      <c r="N760">
        <v>0.81712360100000003</v>
      </c>
    </row>
    <row r="761" spans="1:14" x14ac:dyDescent="0.3">
      <c r="A761" t="s">
        <v>214</v>
      </c>
      <c r="B761">
        <v>190</v>
      </c>
      <c r="C761" t="s">
        <v>21</v>
      </c>
      <c r="D761" t="s">
        <v>16</v>
      </c>
      <c r="E761">
        <v>2</v>
      </c>
      <c r="F761" t="s">
        <v>17</v>
      </c>
      <c r="G761">
        <v>2</v>
      </c>
      <c r="H761" t="s">
        <v>18</v>
      </c>
      <c r="I761">
        <v>1</v>
      </c>
      <c r="J761">
        <v>45.597075650000001</v>
      </c>
      <c r="K761">
        <v>62.96989464</v>
      </c>
      <c r="L761">
        <v>0.113621496</v>
      </c>
      <c r="M761">
        <v>4</v>
      </c>
      <c r="N761">
        <v>-0.66398828399999998</v>
      </c>
    </row>
    <row r="762" spans="1:14" x14ac:dyDescent="0.3">
      <c r="A762" t="s">
        <v>215</v>
      </c>
      <c r="B762">
        <v>191</v>
      </c>
      <c r="C762" t="s">
        <v>15</v>
      </c>
      <c r="D762" t="s">
        <v>16</v>
      </c>
      <c r="E762">
        <v>2</v>
      </c>
      <c r="F762" t="s">
        <v>33</v>
      </c>
      <c r="G762">
        <v>3</v>
      </c>
      <c r="H762" t="s">
        <v>25</v>
      </c>
      <c r="I762">
        <v>0</v>
      </c>
      <c r="J762">
        <v>18.79237861</v>
      </c>
      <c r="K762">
        <v>30.782524509999998</v>
      </c>
      <c r="L762">
        <v>0.35326729600000001</v>
      </c>
      <c r="M762">
        <v>1</v>
      </c>
      <c r="N762">
        <v>-1.1281230999999999E-2</v>
      </c>
    </row>
    <row r="763" spans="1:14" x14ac:dyDescent="0.3">
      <c r="A763" t="s">
        <v>215</v>
      </c>
      <c r="B763">
        <v>191</v>
      </c>
      <c r="C763" t="s">
        <v>19</v>
      </c>
      <c r="D763" t="s">
        <v>16</v>
      </c>
      <c r="E763">
        <v>2</v>
      </c>
      <c r="F763" t="s">
        <v>33</v>
      </c>
      <c r="G763">
        <v>3</v>
      </c>
      <c r="H763" t="s">
        <v>25</v>
      </c>
      <c r="I763">
        <v>0</v>
      </c>
      <c r="J763">
        <v>18.79237861</v>
      </c>
      <c r="L763">
        <v>0.30327778799999999</v>
      </c>
      <c r="M763">
        <v>2</v>
      </c>
      <c r="N763">
        <v>0.61967725600000001</v>
      </c>
    </row>
    <row r="764" spans="1:14" x14ac:dyDescent="0.3">
      <c r="A764" t="s">
        <v>215</v>
      </c>
      <c r="B764">
        <v>191</v>
      </c>
      <c r="C764" t="s">
        <v>20</v>
      </c>
      <c r="D764" t="s">
        <v>16</v>
      </c>
      <c r="E764">
        <v>2</v>
      </c>
      <c r="F764" t="s">
        <v>33</v>
      </c>
      <c r="G764">
        <v>3</v>
      </c>
      <c r="H764" t="s">
        <v>25</v>
      </c>
      <c r="I764">
        <v>0</v>
      </c>
      <c r="J764">
        <v>18.79237861</v>
      </c>
      <c r="L764">
        <v>0.46731836500000001</v>
      </c>
      <c r="M764">
        <v>3</v>
      </c>
      <c r="N764">
        <v>-1.281238742</v>
      </c>
    </row>
    <row r="765" spans="1:14" x14ac:dyDescent="0.3">
      <c r="A765" t="s">
        <v>215</v>
      </c>
      <c r="B765">
        <v>191</v>
      </c>
      <c r="C765" t="s">
        <v>21</v>
      </c>
      <c r="D765" t="s">
        <v>16</v>
      </c>
      <c r="E765">
        <v>2</v>
      </c>
      <c r="F765" t="s">
        <v>33</v>
      </c>
      <c r="G765">
        <v>3</v>
      </c>
      <c r="H765" t="s">
        <v>25</v>
      </c>
      <c r="I765">
        <v>0</v>
      </c>
      <c r="J765">
        <v>18.79237861</v>
      </c>
      <c r="K765">
        <v>44.696667269999999</v>
      </c>
      <c r="L765">
        <v>0.52700211900000005</v>
      </c>
      <c r="M765">
        <v>4</v>
      </c>
      <c r="N765">
        <v>-0.12426132600000001</v>
      </c>
    </row>
    <row r="766" spans="1:14" x14ac:dyDescent="0.3">
      <c r="A766" t="s">
        <v>216</v>
      </c>
      <c r="B766">
        <v>192</v>
      </c>
      <c r="C766" t="s">
        <v>15</v>
      </c>
      <c r="D766" t="s">
        <v>16</v>
      </c>
      <c r="E766">
        <v>2</v>
      </c>
      <c r="F766" t="s">
        <v>33</v>
      </c>
      <c r="G766">
        <v>3</v>
      </c>
      <c r="H766" t="s">
        <v>18</v>
      </c>
      <c r="I766">
        <v>1</v>
      </c>
      <c r="J766">
        <v>37.433381850000004</v>
      </c>
      <c r="K766">
        <v>32.724907350000002</v>
      </c>
      <c r="L766">
        <v>0.61505831700000002</v>
      </c>
      <c r="M766">
        <v>1</v>
      </c>
      <c r="N766">
        <v>0.175741655</v>
      </c>
    </row>
    <row r="767" spans="1:14" x14ac:dyDescent="0.3">
      <c r="A767" t="s">
        <v>216</v>
      </c>
      <c r="B767">
        <v>192</v>
      </c>
      <c r="C767" t="s">
        <v>19</v>
      </c>
      <c r="D767" t="s">
        <v>16</v>
      </c>
      <c r="E767">
        <v>2</v>
      </c>
      <c r="F767" t="s">
        <v>33</v>
      </c>
      <c r="G767">
        <v>3</v>
      </c>
      <c r="H767" t="s">
        <v>18</v>
      </c>
      <c r="I767">
        <v>1</v>
      </c>
      <c r="J767">
        <v>37.433381850000004</v>
      </c>
      <c r="K767">
        <v>45.787024000000002</v>
      </c>
      <c r="L767">
        <v>0.838085144</v>
      </c>
      <c r="M767">
        <v>2</v>
      </c>
      <c r="N767">
        <v>1.6927737940000001</v>
      </c>
    </row>
    <row r="768" spans="1:14" x14ac:dyDescent="0.3">
      <c r="A768" t="s">
        <v>216</v>
      </c>
      <c r="B768">
        <v>192</v>
      </c>
      <c r="C768" t="s">
        <v>20</v>
      </c>
      <c r="D768" t="s">
        <v>16</v>
      </c>
      <c r="E768">
        <v>2</v>
      </c>
      <c r="F768" t="s">
        <v>33</v>
      </c>
      <c r="G768">
        <v>3</v>
      </c>
      <c r="H768" t="s">
        <v>18</v>
      </c>
      <c r="I768">
        <v>1</v>
      </c>
      <c r="J768">
        <v>37.433381850000004</v>
      </c>
      <c r="K768">
        <v>48.74885768</v>
      </c>
      <c r="L768">
        <v>0.33694019200000003</v>
      </c>
      <c r="M768">
        <v>3</v>
      </c>
      <c r="N768">
        <v>0.64213271699999996</v>
      </c>
    </row>
    <row r="769" spans="1:14" x14ac:dyDescent="0.3">
      <c r="A769" t="s">
        <v>216</v>
      </c>
      <c r="B769">
        <v>192</v>
      </c>
      <c r="C769" t="s">
        <v>21</v>
      </c>
      <c r="D769" t="s">
        <v>16</v>
      </c>
      <c r="E769">
        <v>2</v>
      </c>
      <c r="F769" t="s">
        <v>33</v>
      </c>
      <c r="G769">
        <v>3</v>
      </c>
      <c r="H769" t="s">
        <v>18</v>
      </c>
      <c r="I769">
        <v>1</v>
      </c>
      <c r="J769">
        <v>37.433381850000004</v>
      </c>
      <c r="K769">
        <v>84.084487080000002</v>
      </c>
      <c r="L769">
        <v>0.74978092200000002</v>
      </c>
      <c r="M769">
        <v>4</v>
      </c>
      <c r="N769">
        <v>1.2822330319999999</v>
      </c>
    </row>
    <row r="770" spans="1:14" x14ac:dyDescent="0.3">
      <c r="A770" t="s">
        <v>217</v>
      </c>
      <c r="B770">
        <v>193</v>
      </c>
      <c r="C770" t="s">
        <v>15</v>
      </c>
      <c r="D770" t="s">
        <v>23</v>
      </c>
      <c r="E770">
        <v>1</v>
      </c>
      <c r="F770" t="s">
        <v>24</v>
      </c>
      <c r="G770">
        <v>1</v>
      </c>
      <c r="H770" t="s">
        <v>25</v>
      </c>
      <c r="I770">
        <v>0</v>
      </c>
      <c r="J770">
        <v>21.971170910000001</v>
      </c>
      <c r="L770">
        <v>0.65502634599999998</v>
      </c>
      <c r="M770">
        <v>1</v>
      </c>
      <c r="N770">
        <v>0.14054697399999999</v>
      </c>
    </row>
    <row r="771" spans="1:14" x14ac:dyDescent="0.3">
      <c r="A771" t="s">
        <v>217</v>
      </c>
      <c r="B771">
        <v>193</v>
      </c>
      <c r="C771" t="s">
        <v>19</v>
      </c>
      <c r="D771" t="s">
        <v>23</v>
      </c>
      <c r="E771">
        <v>1</v>
      </c>
      <c r="F771" t="s">
        <v>24</v>
      </c>
      <c r="G771">
        <v>1</v>
      </c>
      <c r="H771" t="s">
        <v>25</v>
      </c>
      <c r="I771">
        <v>0</v>
      </c>
      <c r="J771">
        <v>21.971170910000001</v>
      </c>
      <c r="K771">
        <v>30.194945310000001</v>
      </c>
      <c r="L771">
        <v>0.25274064499999999</v>
      </c>
      <c r="M771">
        <v>2</v>
      </c>
      <c r="N771">
        <v>-1.112502683</v>
      </c>
    </row>
    <row r="772" spans="1:14" x14ac:dyDescent="0.3">
      <c r="A772" t="s">
        <v>217</v>
      </c>
      <c r="B772">
        <v>193</v>
      </c>
      <c r="C772" t="s">
        <v>20</v>
      </c>
      <c r="D772" t="s">
        <v>23</v>
      </c>
      <c r="E772">
        <v>1</v>
      </c>
      <c r="F772" t="s">
        <v>24</v>
      </c>
      <c r="G772">
        <v>1</v>
      </c>
      <c r="H772" t="s">
        <v>25</v>
      </c>
      <c r="I772">
        <v>0</v>
      </c>
      <c r="J772">
        <v>21.971170910000001</v>
      </c>
      <c r="K772">
        <v>36.785734380000001</v>
      </c>
      <c r="L772">
        <v>0.45213004299999998</v>
      </c>
      <c r="M772">
        <v>3</v>
      </c>
      <c r="N772">
        <v>-0.33967697200000002</v>
      </c>
    </row>
    <row r="773" spans="1:14" x14ac:dyDescent="0.3">
      <c r="A773" t="s">
        <v>217</v>
      </c>
      <c r="B773">
        <v>193</v>
      </c>
      <c r="C773" t="s">
        <v>21</v>
      </c>
      <c r="D773" t="s">
        <v>23</v>
      </c>
      <c r="E773">
        <v>1</v>
      </c>
      <c r="F773" t="s">
        <v>24</v>
      </c>
      <c r="G773">
        <v>1</v>
      </c>
      <c r="H773" t="s">
        <v>25</v>
      </c>
      <c r="I773">
        <v>0</v>
      </c>
      <c r="J773">
        <v>21.971170910000001</v>
      </c>
      <c r="K773">
        <v>61.035875420000004</v>
      </c>
      <c r="L773">
        <v>0.78783153500000003</v>
      </c>
      <c r="M773">
        <v>4</v>
      </c>
      <c r="N773">
        <v>-1.6647646389999999</v>
      </c>
    </row>
    <row r="774" spans="1:14" x14ac:dyDescent="0.3">
      <c r="A774" t="s">
        <v>218</v>
      </c>
      <c r="B774">
        <v>194</v>
      </c>
      <c r="C774" t="s">
        <v>15</v>
      </c>
      <c r="D774" t="s">
        <v>23</v>
      </c>
      <c r="E774">
        <v>1</v>
      </c>
      <c r="F774" t="s">
        <v>17</v>
      </c>
      <c r="G774">
        <v>2</v>
      </c>
      <c r="H774" t="s">
        <v>25</v>
      </c>
      <c r="I774">
        <v>0</v>
      </c>
      <c r="J774">
        <v>34.46237584</v>
      </c>
      <c r="K774">
        <v>20.36749399</v>
      </c>
      <c r="L774">
        <v>0.75365349299999995</v>
      </c>
      <c r="M774">
        <v>1</v>
      </c>
      <c r="N774">
        <v>0.92885176199999997</v>
      </c>
    </row>
    <row r="775" spans="1:14" x14ac:dyDescent="0.3">
      <c r="A775" t="s">
        <v>218</v>
      </c>
      <c r="B775">
        <v>194</v>
      </c>
      <c r="C775" t="s">
        <v>19</v>
      </c>
      <c r="D775" t="s">
        <v>23</v>
      </c>
      <c r="E775">
        <v>1</v>
      </c>
      <c r="F775" t="s">
        <v>17</v>
      </c>
      <c r="G775">
        <v>2</v>
      </c>
      <c r="H775" t="s">
        <v>25</v>
      </c>
      <c r="I775">
        <v>0</v>
      </c>
      <c r="J775">
        <v>34.46237584</v>
      </c>
      <c r="K775">
        <v>35.224795499999999</v>
      </c>
      <c r="L775">
        <v>0.35004846000000001</v>
      </c>
      <c r="M775">
        <v>2</v>
      </c>
      <c r="N775">
        <v>1.416826835</v>
      </c>
    </row>
    <row r="776" spans="1:14" x14ac:dyDescent="0.3">
      <c r="A776" t="s">
        <v>218</v>
      </c>
      <c r="B776">
        <v>194</v>
      </c>
      <c r="C776" t="s">
        <v>20</v>
      </c>
      <c r="D776" t="s">
        <v>23</v>
      </c>
      <c r="E776">
        <v>1</v>
      </c>
      <c r="F776" t="s">
        <v>17</v>
      </c>
      <c r="G776">
        <v>2</v>
      </c>
      <c r="H776" t="s">
        <v>25</v>
      </c>
      <c r="I776">
        <v>0</v>
      </c>
      <c r="J776">
        <v>34.46237584</v>
      </c>
      <c r="K776">
        <v>37.428470910000001</v>
      </c>
      <c r="L776">
        <v>0.89001638500000002</v>
      </c>
      <c r="M776">
        <v>3</v>
      </c>
      <c r="N776">
        <v>-6.2720778000000005E-2</v>
      </c>
    </row>
    <row r="777" spans="1:14" x14ac:dyDescent="0.3">
      <c r="A777" t="s">
        <v>218</v>
      </c>
      <c r="B777">
        <v>194</v>
      </c>
      <c r="C777" t="s">
        <v>21</v>
      </c>
      <c r="D777" t="s">
        <v>23</v>
      </c>
      <c r="E777">
        <v>1</v>
      </c>
      <c r="F777" t="s">
        <v>17</v>
      </c>
      <c r="G777">
        <v>2</v>
      </c>
      <c r="H777" t="s">
        <v>25</v>
      </c>
      <c r="I777">
        <v>0</v>
      </c>
      <c r="J777">
        <v>34.46237584</v>
      </c>
      <c r="K777">
        <v>30.205007009999999</v>
      </c>
      <c r="L777">
        <v>0.413535072</v>
      </c>
      <c r="M777">
        <v>4</v>
      </c>
      <c r="N777">
        <v>-0.98090233599999999</v>
      </c>
    </row>
    <row r="778" spans="1:14" x14ac:dyDescent="0.3">
      <c r="A778" t="s">
        <v>219</v>
      </c>
      <c r="B778">
        <v>195</v>
      </c>
      <c r="C778" t="s">
        <v>15</v>
      </c>
      <c r="D778" t="s">
        <v>16</v>
      </c>
      <c r="E778">
        <v>2</v>
      </c>
      <c r="F778" t="s">
        <v>33</v>
      </c>
      <c r="G778">
        <v>3</v>
      </c>
      <c r="H778" t="s">
        <v>18</v>
      </c>
      <c r="I778">
        <v>1</v>
      </c>
      <c r="J778">
        <v>35.881101049999998</v>
      </c>
      <c r="L778">
        <v>0.19281561</v>
      </c>
      <c r="M778">
        <v>1</v>
      </c>
      <c r="N778">
        <v>1.087150251</v>
      </c>
    </row>
    <row r="779" spans="1:14" x14ac:dyDescent="0.3">
      <c r="A779" t="s">
        <v>219</v>
      </c>
      <c r="B779">
        <v>195</v>
      </c>
      <c r="C779" t="s">
        <v>19</v>
      </c>
      <c r="D779" t="s">
        <v>16</v>
      </c>
      <c r="E779">
        <v>2</v>
      </c>
      <c r="F779" t="s">
        <v>33</v>
      </c>
      <c r="G779">
        <v>3</v>
      </c>
      <c r="H779" t="s">
        <v>18</v>
      </c>
      <c r="I779">
        <v>1</v>
      </c>
      <c r="J779">
        <v>35.881101049999998</v>
      </c>
      <c r="K779">
        <v>49.128616209999997</v>
      </c>
      <c r="L779">
        <v>0.114090646</v>
      </c>
      <c r="M779">
        <v>2</v>
      </c>
      <c r="N779">
        <v>0.13932702699999999</v>
      </c>
    </row>
    <row r="780" spans="1:14" x14ac:dyDescent="0.3">
      <c r="A780" t="s">
        <v>219</v>
      </c>
      <c r="B780">
        <v>195</v>
      </c>
      <c r="C780" t="s">
        <v>20</v>
      </c>
      <c r="D780" t="s">
        <v>16</v>
      </c>
      <c r="E780">
        <v>2</v>
      </c>
      <c r="F780" t="s">
        <v>33</v>
      </c>
      <c r="G780">
        <v>3</v>
      </c>
      <c r="H780" t="s">
        <v>18</v>
      </c>
      <c r="I780">
        <v>1</v>
      </c>
      <c r="J780">
        <v>35.881101049999998</v>
      </c>
      <c r="K780">
        <v>47.312339950000002</v>
      </c>
      <c r="L780">
        <v>0.37022603199999998</v>
      </c>
      <c r="M780">
        <v>3</v>
      </c>
      <c r="N780">
        <v>-0.38627209800000001</v>
      </c>
    </row>
    <row r="781" spans="1:14" x14ac:dyDescent="0.3">
      <c r="A781" t="s">
        <v>219</v>
      </c>
      <c r="B781">
        <v>195</v>
      </c>
      <c r="C781" t="s">
        <v>21</v>
      </c>
      <c r="D781" t="s">
        <v>16</v>
      </c>
      <c r="E781">
        <v>2</v>
      </c>
      <c r="F781" t="s">
        <v>33</v>
      </c>
      <c r="G781">
        <v>3</v>
      </c>
      <c r="H781" t="s">
        <v>18</v>
      </c>
      <c r="I781">
        <v>1</v>
      </c>
      <c r="J781">
        <v>35.881101049999998</v>
      </c>
      <c r="L781">
        <v>0.76036764800000001</v>
      </c>
      <c r="M781">
        <v>4</v>
      </c>
      <c r="N781">
        <v>1.123585423</v>
      </c>
    </row>
    <row r="782" spans="1:14" x14ac:dyDescent="0.3">
      <c r="A782" t="s">
        <v>220</v>
      </c>
      <c r="B782">
        <v>196</v>
      </c>
      <c r="C782" t="s">
        <v>15</v>
      </c>
      <c r="D782" t="s">
        <v>23</v>
      </c>
      <c r="E782">
        <v>1</v>
      </c>
      <c r="F782" t="s">
        <v>24</v>
      </c>
      <c r="G782">
        <v>1</v>
      </c>
      <c r="H782" t="s">
        <v>25</v>
      </c>
      <c r="I782">
        <v>0</v>
      </c>
      <c r="J782">
        <v>29.393058419999999</v>
      </c>
      <c r="K782">
        <v>19.28388473</v>
      </c>
      <c r="L782">
        <v>0.73011015499999998</v>
      </c>
      <c r="M782">
        <v>1</v>
      </c>
      <c r="N782">
        <v>-0.75984565699999995</v>
      </c>
    </row>
    <row r="783" spans="1:14" x14ac:dyDescent="0.3">
      <c r="A783" t="s">
        <v>220</v>
      </c>
      <c r="B783">
        <v>196</v>
      </c>
      <c r="C783" t="s">
        <v>19</v>
      </c>
      <c r="D783" t="s">
        <v>23</v>
      </c>
      <c r="E783">
        <v>1</v>
      </c>
      <c r="F783" t="s">
        <v>24</v>
      </c>
      <c r="G783">
        <v>1</v>
      </c>
      <c r="H783" t="s">
        <v>25</v>
      </c>
      <c r="I783">
        <v>0</v>
      </c>
      <c r="J783">
        <v>29.393058419999999</v>
      </c>
      <c r="K783">
        <v>30.00681582</v>
      </c>
      <c r="L783">
        <v>0.400501891</v>
      </c>
      <c r="M783">
        <v>2</v>
      </c>
      <c r="N783">
        <v>1.1489591029999999</v>
      </c>
    </row>
    <row r="784" spans="1:14" x14ac:dyDescent="0.3">
      <c r="A784" t="s">
        <v>220</v>
      </c>
      <c r="B784">
        <v>196</v>
      </c>
      <c r="C784" t="s">
        <v>20</v>
      </c>
      <c r="D784" t="s">
        <v>23</v>
      </c>
      <c r="E784">
        <v>1</v>
      </c>
      <c r="F784" t="s">
        <v>24</v>
      </c>
      <c r="G784">
        <v>1</v>
      </c>
      <c r="H784" t="s">
        <v>25</v>
      </c>
      <c r="I784">
        <v>0</v>
      </c>
      <c r="J784">
        <v>29.393058419999999</v>
      </c>
      <c r="L784">
        <v>0.65265492199999997</v>
      </c>
      <c r="M784">
        <v>3</v>
      </c>
      <c r="N784">
        <v>-0.84247625900000001</v>
      </c>
    </row>
    <row r="785" spans="1:14" x14ac:dyDescent="0.3">
      <c r="A785" t="s">
        <v>220</v>
      </c>
      <c r="B785">
        <v>196</v>
      </c>
      <c r="C785" t="s">
        <v>21</v>
      </c>
      <c r="D785" t="s">
        <v>23</v>
      </c>
      <c r="E785">
        <v>1</v>
      </c>
      <c r="F785" t="s">
        <v>24</v>
      </c>
      <c r="G785">
        <v>1</v>
      </c>
      <c r="H785" t="s">
        <v>25</v>
      </c>
      <c r="I785">
        <v>0</v>
      </c>
      <c r="J785">
        <v>29.393058419999999</v>
      </c>
      <c r="K785">
        <v>49.21768204</v>
      </c>
      <c r="L785">
        <v>0.58628254999999996</v>
      </c>
      <c r="M785">
        <v>4</v>
      </c>
      <c r="N785">
        <v>0.39141334</v>
      </c>
    </row>
    <row r="786" spans="1:14" x14ac:dyDescent="0.3">
      <c r="A786" t="s">
        <v>221</v>
      </c>
      <c r="B786">
        <v>197</v>
      </c>
      <c r="C786" t="s">
        <v>15</v>
      </c>
      <c r="D786" t="s">
        <v>23</v>
      </c>
      <c r="E786">
        <v>1</v>
      </c>
      <c r="F786" t="s">
        <v>17</v>
      </c>
      <c r="G786">
        <v>2</v>
      </c>
      <c r="H786" t="s">
        <v>25</v>
      </c>
      <c r="I786">
        <v>0</v>
      </c>
      <c r="J786">
        <v>35.696733459999997</v>
      </c>
      <c r="L786">
        <v>0.53806738600000004</v>
      </c>
      <c r="M786">
        <v>1</v>
      </c>
      <c r="N786">
        <v>0.89137724200000001</v>
      </c>
    </row>
    <row r="787" spans="1:14" x14ac:dyDescent="0.3">
      <c r="A787" t="s">
        <v>221</v>
      </c>
      <c r="B787">
        <v>197</v>
      </c>
      <c r="C787" t="s">
        <v>19</v>
      </c>
      <c r="D787" t="s">
        <v>23</v>
      </c>
      <c r="E787">
        <v>1</v>
      </c>
      <c r="F787" t="s">
        <v>17</v>
      </c>
      <c r="G787">
        <v>2</v>
      </c>
      <c r="H787" t="s">
        <v>25</v>
      </c>
      <c r="I787">
        <v>0</v>
      </c>
      <c r="J787">
        <v>35.696733459999997</v>
      </c>
      <c r="L787">
        <v>0.78633983200000002</v>
      </c>
      <c r="M787">
        <v>2</v>
      </c>
      <c r="N787">
        <v>-1.335258713</v>
      </c>
    </row>
    <row r="788" spans="1:14" x14ac:dyDescent="0.3">
      <c r="A788" t="s">
        <v>221</v>
      </c>
      <c r="B788">
        <v>197</v>
      </c>
      <c r="C788" t="s">
        <v>20</v>
      </c>
      <c r="D788" t="s">
        <v>23</v>
      </c>
      <c r="E788">
        <v>1</v>
      </c>
      <c r="F788" t="s">
        <v>17</v>
      </c>
      <c r="G788">
        <v>2</v>
      </c>
      <c r="H788" t="s">
        <v>25</v>
      </c>
      <c r="I788">
        <v>0</v>
      </c>
      <c r="J788">
        <v>35.696733459999997</v>
      </c>
      <c r="L788">
        <v>0.385387123</v>
      </c>
      <c r="M788">
        <v>3</v>
      </c>
      <c r="N788">
        <v>0.39812347799999998</v>
      </c>
    </row>
    <row r="789" spans="1:14" x14ac:dyDescent="0.3">
      <c r="A789" t="s">
        <v>221</v>
      </c>
      <c r="B789">
        <v>197</v>
      </c>
      <c r="C789" t="s">
        <v>21</v>
      </c>
      <c r="D789" t="s">
        <v>23</v>
      </c>
      <c r="E789">
        <v>1</v>
      </c>
      <c r="F789" t="s">
        <v>17</v>
      </c>
      <c r="G789">
        <v>2</v>
      </c>
      <c r="H789" t="s">
        <v>25</v>
      </c>
      <c r="I789">
        <v>0</v>
      </c>
      <c r="J789">
        <v>35.696733459999997</v>
      </c>
      <c r="K789">
        <v>40.133533749999998</v>
      </c>
      <c r="L789">
        <v>0.34436878500000001</v>
      </c>
      <c r="M789">
        <v>4</v>
      </c>
      <c r="N789">
        <v>-0.111586803</v>
      </c>
    </row>
    <row r="790" spans="1:14" x14ac:dyDescent="0.3">
      <c r="A790" t="s">
        <v>222</v>
      </c>
      <c r="B790">
        <v>198</v>
      </c>
      <c r="C790" t="s">
        <v>15</v>
      </c>
      <c r="D790" t="s">
        <v>16</v>
      </c>
      <c r="E790">
        <v>2</v>
      </c>
      <c r="F790" t="s">
        <v>17</v>
      </c>
      <c r="G790">
        <v>2</v>
      </c>
      <c r="H790" t="s">
        <v>25</v>
      </c>
      <c r="I790">
        <v>0</v>
      </c>
      <c r="J790">
        <v>29.474841319999999</v>
      </c>
      <c r="K790">
        <v>42.345344240000003</v>
      </c>
      <c r="L790">
        <v>0.58277352299999996</v>
      </c>
      <c r="M790">
        <v>1</v>
      </c>
      <c r="N790">
        <v>0.67574391700000003</v>
      </c>
    </row>
    <row r="791" spans="1:14" x14ac:dyDescent="0.3">
      <c r="A791" t="s">
        <v>222</v>
      </c>
      <c r="B791">
        <v>198</v>
      </c>
      <c r="C791" t="s">
        <v>19</v>
      </c>
      <c r="D791" t="s">
        <v>16</v>
      </c>
      <c r="E791">
        <v>2</v>
      </c>
      <c r="F791" t="s">
        <v>17</v>
      </c>
      <c r="G791">
        <v>2</v>
      </c>
      <c r="H791" t="s">
        <v>25</v>
      </c>
      <c r="I791">
        <v>0</v>
      </c>
      <c r="J791">
        <v>29.474841319999999</v>
      </c>
      <c r="K791">
        <v>52.325750040000003</v>
      </c>
      <c r="L791">
        <v>0.36124576400000002</v>
      </c>
      <c r="M791">
        <v>2</v>
      </c>
      <c r="N791">
        <v>-0.78859793499999997</v>
      </c>
    </row>
    <row r="792" spans="1:14" x14ac:dyDescent="0.3">
      <c r="A792" t="s">
        <v>222</v>
      </c>
      <c r="B792">
        <v>198</v>
      </c>
      <c r="C792" t="s">
        <v>20</v>
      </c>
      <c r="D792" t="s">
        <v>16</v>
      </c>
      <c r="E792">
        <v>2</v>
      </c>
      <c r="F792" t="s">
        <v>17</v>
      </c>
      <c r="G792">
        <v>2</v>
      </c>
      <c r="H792" t="s">
        <v>25</v>
      </c>
      <c r="I792">
        <v>0</v>
      </c>
      <c r="J792">
        <v>29.474841319999999</v>
      </c>
      <c r="L792">
        <v>0.58288854899999998</v>
      </c>
      <c r="M792">
        <v>3</v>
      </c>
      <c r="N792">
        <v>-8.6986333999999998E-2</v>
      </c>
    </row>
    <row r="793" spans="1:14" x14ac:dyDescent="0.3">
      <c r="A793" t="s">
        <v>222</v>
      </c>
      <c r="B793">
        <v>198</v>
      </c>
      <c r="C793" t="s">
        <v>21</v>
      </c>
      <c r="D793" t="s">
        <v>16</v>
      </c>
      <c r="E793">
        <v>2</v>
      </c>
      <c r="F793" t="s">
        <v>17</v>
      </c>
      <c r="G793">
        <v>2</v>
      </c>
      <c r="H793" t="s">
        <v>25</v>
      </c>
      <c r="I793">
        <v>0</v>
      </c>
      <c r="J793">
        <v>29.474841319999999</v>
      </c>
      <c r="K793">
        <v>69.2625362</v>
      </c>
      <c r="L793">
        <v>0.29898904900000001</v>
      </c>
      <c r="M793">
        <v>4</v>
      </c>
      <c r="N793">
        <v>1.3822840080000001</v>
      </c>
    </row>
    <row r="794" spans="1:14" x14ac:dyDescent="0.3">
      <c r="A794" t="s">
        <v>223</v>
      </c>
      <c r="B794">
        <v>199</v>
      </c>
      <c r="C794" t="s">
        <v>15</v>
      </c>
      <c r="D794" t="s">
        <v>16</v>
      </c>
      <c r="E794">
        <v>2</v>
      </c>
      <c r="F794" t="s">
        <v>33</v>
      </c>
      <c r="G794">
        <v>3</v>
      </c>
      <c r="H794" t="s">
        <v>25</v>
      </c>
      <c r="I794">
        <v>0</v>
      </c>
      <c r="J794">
        <v>41.054005920000002</v>
      </c>
      <c r="L794">
        <v>0.69132306300000002</v>
      </c>
      <c r="M794">
        <v>1</v>
      </c>
      <c r="N794">
        <v>0.168490164</v>
      </c>
    </row>
    <row r="795" spans="1:14" x14ac:dyDescent="0.3">
      <c r="A795" t="s">
        <v>223</v>
      </c>
      <c r="B795">
        <v>199</v>
      </c>
      <c r="C795" t="s">
        <v>19</v>
      </c>
      <c r="D795" t="s">
        <v>16</v>
      </c>
      <c r="E795">
        <v>2</v>
      </c>
      <c r="F795" t="s">
        <v>33</v>
      </c>
      <c r="G795">
        <v>3</v>
      </c>
      <c r="H795" t="s">
        <v>25</v>
      </c>
      <c r="I795">
        <v>0</v>
      </c>
      <c r="J795">
        <v>41.054005920000002</v>
      </c>
      <c r="L795">
        <v>0.11205923299999999</v>
      </c>
      <c r="M795">
        <v>2</v>
      </c>
      <c r="N795">
        <v>0.82319094800000003</v>
      </c>
    </row>
    <row r="796" spans="1:14" x14ac:dyDescent="0.3">
      <c r="A796" t="s">
        <v>223</v>
      </c>
      <c r="B796">
        <v>199</v>
      </c>
      <c r="C796" t="s">
        <v>20</v>
      </c>
      <c r="D796" t="s">
        <v>16</v>
      </c>
      <c r="E796">
        <v>2</v>
      </c>
      <c r="F796" t="s">
        <v>33</v>
      </c>
      <c r="G796">
        <v>3</v>
      </c>
      <c r="H796" t="s">
        <v>25</v>
      </c>
      <c r="I796">
        <v>0</v>
      </c>
      <c r="J796">
        <v>41.054005920000002</v>
      </c>
      <c r="L796">
        <v>0.59648999700000005</v>
      </c>
      <c r="M796">
        <v>3</v>
      </c>
      <c r="N796">
        <v>-0.220894598</v>
      </c>
    </row>
    <row r="797" spans="1:14" x14ac:dyDescent="0.3">
      <c r="A797" t="s">
        <v>223</v>
      </c>
      <c r="B797">
        <v>199</v>
      </c>
      <c r="C797" t="s">
        <v>21</v>
      </c>
      <c r="D797" t="s">
        <v>16</v>
      </c>
      <c r="E797">
        <v>2</v>
      </c>
      <c r="F797" t="s">
        <v>33</v>
      </c>
      <c r="G797">
        <v>3</v>
      </c>
      <c r="H797" t="s">
        <v>25</v>
      </c>
      <c r="I797">
        <v>0</v>
      </c>
      <c r="J797">
        <v>41.054005920000002</v>
      </c>
      <c r="L797">
        <v>0.78974741199999998</v>
      </c>
      <c r="M797">
        <v>4</v>
      </c>
      <c r="N797">
        <v>-1.029391655</v>
      </c>
    </row>
    <row r="798" spans="1:14" x14ac:dyDescent="0.3">
      <c r="A798" t="s">
        <v>224</v>
      </c>
      <c r="B798">
        <v>200</v>
      </c>
      <c r="C798" t="s">
        <v>15</v>
      </c>
      <c r="D798" t="s">
        <v>23</v>
      </c>
      <c r="E798">
        <v>1</v>
      </c>
      <c r="F798" t="s">
        <v>17</v>
      </c>
      <c r="G798">
        <v>2</v>
      </c>
      <c r="H798" t="s">
        <v>25</v>
      </c>
      <c r="I798">
        <v>0</v>
      </c>
      <c r="J798">
        <v>51.191006819999998</v>
      </c>
      <c r="K798">
        <v>35.703411789999997</v>
      </c>
      <c r="L798">
        <v>0.48942855800000001</v>
      </c>
      <c r="M798">
        <v>1</v>
      </c>
      <c r="N798">
        <v>-1.0925691E-2</v>
      </c>
    </row>
    <row r="799" spans="1:14" x14ac:dyDescent="0.3">
      <c r="A799" t="s">
        <v>224</v>
      </c>
      <c r="B799">
        <v>200</v>
      </c>
      <c r="C799" t="s">
        <v>19</v>
      </c>
      <c r="D799" t="s">
        <v>23</v>
      </c>
      <c r="E799">
        <v>1</v>
      </c>
      <c r="F799" t="s">
        <v>17</v>
      </c>
      <c r="G799">
        <v>2</v>
      </c>
      <c r="H799" t="s">
        <v>25</v>
      </c>
      <c r="I799">
        <v>0</v>
      </c>
      <c r="J799">
        <v>51.191006819999998</v>
      </c>
      <c r="K799">
        <v>41.644542710000003</v>
      </c>
      <c r="L799">
        <v>0.490321124</v>
      </c>
      <c r="M799">
        <v>2</v>
      </c>
      <c r="N799">
        <v>-1.2249911550000001</v>
      </c>
    </row>
    <row r="800" spans="1:14" x14ac:dyDescent="0.3">
      <c r="A800" t="s">
        <v>224</v>
      </c>
      <c r="B800">
        <v>200</v>
      </c>
      <c r="C800" t="s">
        <v>20</v>
      </c>
      <c r="D800" t="s">
        <v>23</v>
      </c>
      <c r="E800">
        <v>1</v>
      </c>
      <c r="F800" t="s">
        <v>17</v>
      </c>
      <c r="G800">
        <v>2</v>
      </c>
      <c r="H800" t="s">
        <v>25</v>
      </c>
      <c r="I800">
        <v>0</v>
      </c>
      <c r="J800">
        <v>51.191006819999998</v>
      </c>
      <c r="L800">
        <v>0.167683518</v>
      </c>
      <c r="M800">
        <v>3</v>
      </c>
      <c r="N800">
        <v>-2.5961113880000002</v>
      </c>
    </row>
    <row r="801" spans="1:14" x14ac:dyDescent="0.3">
      <c r="A801" t="s">
        <v>224</v>
      </c>
      <c r="B801">
        <v>200</v>
      </c>
      <c r="C801" t="s">
        <v>21</v>
      </c>
      <c r="D801" t="s">
        <v>23</v>
      </c>
      <c r="E801">
        <v>1</v>
      </c>
      <c r="F801" t="s">
        <v>17</v>
      </c>
      <c r="G801">
        <v>2</v>
      </c>
      <c r="H801" t="s">
        <v>25</v>
      </c>
      <c r="I801">
        <v>0</v>
      </c>
      <c r="J801">
        <v>51.191006819999998</v>
      </c>
      <c r="K801">
        <v>54.250812570000001</v>
      </c>
      <c r="L801">
        <v>0.41891905600000001</v>
      </c>
      <c r="M801">
        <v>4</v>
      </c>
      <c r="N801">
        <v>1.1691225919999999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037mmrm_fev_data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2026-05-05T17:08:15Z</dcterms:created>
  <dcterms:modified xsi:type="dcterms:W3CDTF">2026-05-06T07:38:33Z</dcterms:modified>
</cp:coreProperties>
</file>